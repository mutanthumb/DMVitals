
<file path=[Content_Types].xml><?xml version="1.0" encoding="utf-8"?>
<Types xmlns="http://schemas.openxmlformats.org/package/2006/content-types">
  <Default Extension="xml" ContentType="application/xml"/>
  <Default Extension="rels" ContentType="application/vnd.openxmlformats-package.relationships+xml"/>
  <Default Extension="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4" Type="http://schemas.openxmlformats.org/officeDocument/2006/relationships/custom-properties" Target="docProps/custom.xml"/><Relationship Id="rId1" Type="http://schemas.openxmlformats.org/officeDocument/2006/relationships/officeDocument" Target="xl/workbook.xml"/><Relationship Id="rId2"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fileVersion appName="xl" lastEdited="5" lowestEdited="5" rupBuild="26423" codeName="{8C4F1C90-05EB-6A55-5F09-09C24B55AC0B}"/>
  <workbookPr codeName="ThisWorkbook" autoCompressPictures="0"/>
  <bookViews>
    <workbookView xWindow="22640" yWindow="2120" windowWidth="34060" windowHeight="20020" tabRatio="907" activeTab="1"/>
  </bookViews>
  <sheets>
    <sheet name="Interview" sheetId="1" r:id="rId1"/>
    <sheet name="Report" sheetId="10" r:id="rId2"/>
    <sheet name="FileFmtsDataTypes" sheetId="2" r:id="rId3"/>
    <sheet name="OrgFiles" sheetId="3" r:id="rId4"/>
    <sheet name="SecStrgBackups" sheetId="4" r:id="rId5"/>
    <sheet name="CopyrightPrivConfid" sheetId="6" r:id="rId6"/>
    <sheet name="DataDocMetadata" sheetId="7" r:id="rId7"/>
  </sheets>
  <definedNames>
    <definedName name="_xlnm._FilterDatabase" localSheetId="1" hidden="1">Report!$A$24:$A$70</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A4" i="2" l="1"/>
  <c r="A15" i="2"/>
  <c r="K15" i="2"/>
  <c r="M3" i="2"/>
  <c r="A17" i="2"/>
  <c r="K17" i="2"/>
  <c r="M4" i="2"/>
  <c r="M5" i="2"/>
  <c r="C4" i="10"/>
  <c r="C2" i="6"/>
  <c r="C3" i="6"/>
  <c r="C15" i="6"/>
  <c r="K15" i="6"/>
  <c r="M3" i="6"/>
  <c r="C17" i="6"/>
  <c r="K17" i="6"/>
  <c r="M4" i="6"/>
  <c r="M5" i="6"/>
  <c r="C7" i="10"/>
  <c r="A3" i="7"/>
  <c r="A20" i="7"/>
  <c r="C4" i="7"/>
  <c r="C20" i="7"/>
  <c r="E11" i="7"/>
  <c r="E20" i="7"/>
  <c r="I4" i="7"/>
  <c r="I20" i="7"/>
  <c r="K20" i="7"/>
  <c r="M3" i="7"/>
  <c r="A22" i="7"/>
  <c r="C22" i="7"/>
  <c r="E22" i="7"/>
  <c r="I22" i="7"/>
  <c r="K22" i="7"/>
  <c r="M4" i="7"/>
  <c r="M5" i="7"/>
  <c r="C8" i="10"/>
  <c r="G4" i="3"/>
  <c r="G3" i="3"/>
  <c r="G15" i="3"/>
  <c r="K15" i="3"/>
  <c r="M3" i="3"/>
  <c r="G17" i="3"/>
  <c r="K17" i="3"/>
  <c r="M4" i="3"/>
  <c r="M5" i="3"/>
  <c r="C5" i="10"/>
  <c r="E3" i="4"/>
  <c r="E15" i="4"/>
  <c r="A13" i="4"/>
  <c r="A5" i="4"/>
  <c r="A7" i="4"/>
  <c r="A6" i="4"/>
  <c r="A8" i="4"/>
  <c r="A15" i="4"/>
  <c r="I13" i="4"/>
  <c r="I15" i="4"/>
  <c r="K15" i="4"/>
  <c r="M3" i="4"/>
  <c r="E17" i="4"/>
  <c r="A17" i="4"/>
  <c r="I17" i="4"/>
  <c r="K17" i="4"/>
  <c r="M4" i="4"/>
  <c r="M5" i="4"/>
  <c r="C6" i="10"/>
  <c r="C9" i="10"/>
  <c r="D11" i="10"/>
  <c r="A15" i="6"/>
  <c r="E15" i="6"/>
  <c r="G15" i="6"/>
  <c r="I15" i="6"/>
  <c r="A17" i="6"/>
  <c r="E17" i="6"/>
  <c r="G17" i="6"/>
  <c r="I17" i="6"/>
  <c r="A4" i="3"/>
  <c r="A5" i="3"/>
  <c r="A7" i="3"/>
  <c r="A15" i="3"/>
  <c r="C2" i="3"/>
  <c r="C3" i="3"/>
  <c r="C15" i="3"/>
  <c r="E15" i="3"/>
  <c r="I2" i="3"/>
  <c r="I3" i="3"/>
  <c r="I4" i="3"/>
  <c r="I15" i="3"/>
  <c r="A17" i="3"/>
  <c r="C17" i="3"/>
  <c r="E17" i="3"/>
  <c r="I17" i="3"/>
  <c r="A5" i="2"/>
  <c r="A6" i="2"/>
  <c r="C15" i="2"/>
  <c r="E2" i="2"/>
  <c r="E3" i="2"/>
  <c r="E15" i="2"/>
  <c r="G2" i="2"/>
  <c r="G15" i="2"/>
  <c r="I15" i="2"/>
  <c r="C17" i="2"/>
  <c r="E17" i="2"/>
  <c r="G17" i="2"/>
  <c r="I17" i="2"/>
  <c r="B70" i="10"/>
  <c r="B69" i="10"/>
  <c r="B68" i="10"/>
  <c r="B67" i="10"/>
  <c r="B66" i="10"/>
  <c r="B65" i="10"/>
  <c r="B64" i="10"/>
  <c r="B63" i="10"/>
  <c r="B62" i="10"/>
  <c r="B61" i="10"/>
  <c r="B60" i="10"/>
  <c r="B59" i="10"/>
  <c r="B58" i="10"/>
  <c r="B57" i="10"/>
  <c r="B56" i="10"/>
  <c r="B55" i="10"/>
  <c r="B54" i="10"/>
  <c r="B53" i="10"/>
  <c r="B52" i="10"/>
  <c r="B51" i="10"/>
  <c r="B50" i="10"/>
  <c r="B46" i="10"/>
  <c r="B49" i="10"/>
  <c r="B48" i="10"/>
  <c r="B47" i="10"/>
  <c r="B45" i="10"/>
  <c r="B44" i="10"/>
  <c r="B43" i="10"/>
  <c r="B42" i="10"/>
  <c r="B41" i="10"/>
  <c r="A70" i="10"/>
  <c r="A69" i="10"/>
  <c r="A68" i="10"/>
  <c r="A67" i="10"/>
  <c r="A66" i="10"/>
  <c r="A65" i="10"/>
  <c r="A64" i="10"/>
  <c r="A63" i="10"/>
  <c r="A62" i="10"/>
  <c r="A61" i="10"/>
  <c r="A60" i="10"/>
  <c r="A59" i="10"/>
  <c r="A58" i="10"/>
  <c r="A57" i="10"/>
  <c r="A56" i="10"/>
  <c r="A55" i="10"/>
  <c r="A54" i="10"/>
  <c r="A53" i="10"/>
  <c r="A52" i="10"/>
  <c r="A51" i="10"/>
  <c r="A50" i="10"/>
  <c r="A49" i="10"/>
  <c r="A48" i="10"/>
  <c r="A47" i="10"/>
  <c r="A46" i="10"/>
  <c r="A45" i="10"/>
  <c r="A44" i="10"/>
  <c r="A43" i="10"/>
  <c r="A42" i="10"/>
  <c r="A41" i="10"/>
  <c r="B40" i="10"/>
  <c r="A40" i="10"/>
  <c r="B39" i="10"/>
  <c r="A39" i="10"/>
  <c r="B38" i="10"/>
  <c r="A38" i="10"/>
  <c r="B37" i="10"/>
  <c r="A37" i="10"/>
  <c r="B36" i="10"/>
  <c r="A36" i="10"/>
  <c r="A35" i="10"/>
  <c r="B35" i="10"/>
  <c r="B34" i="10"/>
  <c r="A34" i="10"/>
  <c r="B33" i="10"/>
  <c r="A33" i="10"/>
  <c r="B32" i="10"/>
  <c r="A32" i="10"/>
  <c r="B31" i="10"/>
  <c r="A31" i="10"/>
  <c r="B30" i="10"/>
  <c r="A30" i="10"/>
  <c r="B29" i="10"/>
  <c r="A29" i="10"/>
  <c r="B28" i="10"/>
  <c r="A28" i="10"/>
  <c r="B27" i="10"/>
  <c r="A27" i="10"/>
  <c r="B26" i="10"/>
  <c r="A26" i="10"/>
  <c r="B25" i="10"/>
  <c r="A25" i="10"/>
  <c r="I3" i="4"/>
  <c r="I4" i="4"/>
  <c r="I6" i="4"/>
  <c r="I7" i="4"/>
  <c r="I9" i="4"/>
  <c r="I10" i="4"/>
  <c r="I11" i="4"/>
  <c r="I12" i="4"/>
  <c r="G4" i="4"/>
  <c r="G5" i="4"/>
  <c r="G8" i="4"/>
  <c r="G11" i="4"/>
  <c r="G17" i="4"/>
  <c r="C5" i="4"/>
  <c r="C17" i="4"/>
  <c r="A10" i="4"/>
  <c r="G15" i="4"/>
  <c r="C15" i="4"/>
  <c r="I5" i="7"/>
  <c r="I7" i="7"/>
  <c r="I9" i="7"/>
  <c r="I10" i="7"/>
  <c r="G3" i="7"/>
  <c r="G4" i="7"/>
  <c r="G6" i="7"/>
  <c r="G8" i="7"/>
  <c r="G9" i="7"/>
  <c r="G12" i="7"/>
  <c r="G20" i="7"/>
  <c r="E3" i="7"/>
  <c r="E4" i="7"/>
  <c r="E5" i="7"/>
  <c r="E8" i="7"/>
  <c r="J10" i="7"/>
  <c r="J9" i="7"/>
  <c r="J7" i="7"/>
  <c r="J5" i="7"/>
  <c r="J4" i="7"/>
  <c r="H12" i="7"/>
  <c r="H9" i="7"/>
  <c r="H8" i="7"/>
  <c r="H6" i="7"/>
  <c r="H4" i="7"/>
  <c r="H3" i="7"/>
  <c r="F5" i="7"/>
  <c r="F11" i="7"/>
  <c r="F8" i="7"/>
  <c r="F4" i="7"/>
  <c r="F3" i="7"/>
  <c r="D4" i="7"/>
  <c r="D3" i="7"/>
  <c r="B3" i="7"/>
  <c r="D3" i="6"/>
  <c r="D2" i="6"/>
  <c r="J11" i="4"/>
  <c r="J13" i="4"/>
  <c r="J12" i="4"/>
  <c r="J10" i="4"/>
  <c r="J9" i="4"/>
  <c r="J7" i="4"/>
  <c r="J6" i="4"/>
  <c r="J4" i="4"/>
  <c r="J3" i="4"/>
  <c r="H11" i="4"/>
  <c r="H5" i="4"/>
  <c r="H4" i="4"/>
  <c r="F3" i="4"/>
  <c r="H8" i="4"/>
  <c r="D5" i="4"/>
  <c r="B13" i="4"/>
  <c r="B8" i="4"/>
  <c r="B10" i="4"/>
  <c r="B7" i="4"/>
  <c r="B6" i="4"/>
  <c r="B5" i="4"/>
  <c r="J4" i="3"/>
  <c r="J3" i="3"/>
  <c r="J2" i="3"/>
  <c r="H4" i="3"/>
  <c r="H3" i="3"/>
  <c r="D3" i="3"/>
  <c r="D2" i="3"/>
  <c r="B7" i="3"/>
  <c r="B5" i="3"/>
  <c r="B4" i="3"/>
  <c r="H2" i="2"/>
  <c r="F3" i="2"/>
  <c r="F2" i="2"/>
  <c r="B6" i="2"/>
  <c r="B5" i="2"/>
  <c r="B4" i="2"/>
  <c r="C3" i="7"/>
  <c r="G22" i="7"/>
  <c r="D8" i="10"/>
  <c r="D7" i="10"/>
  <c r="D5" i="10"/>
  <c r="D4" i="10"/>
  <c r="D6" i="10"/>
  <c r="D9" i="10"/>
</calcChain>
</file>

<file path=xl/sharedStrings.xml><?xml version="1.0" encoding="utf-8"?>
<sst xmlns="http://schemas.openxmlformats.org/spreadsheetml/2006/main" count="338" uniqueCount="178">
  <si>
    <t>2.1   Describe your day-to-day work with regard to data. What data do you have? What kind of data, how are they created, what type and formats and what software do you use? How much data do you have?</t>
  </si>
  <si>
    <t>Sensitive Data:</t>
  </si>
  <si>
    <t>Storage:</t>
  </si>
  <si>
    <t>Backups:</t>
  </si>
  <si>
    <t>Sensitive Data (IRB):</t>
  </si>
  <si>
    <t>Documentation</t>
  </si>
  <si>
    <t>Dataset Documentation:</t>
  </si>
  <si>
    <t xml:space="preserve">Metadata: </t>
  </si>
  <si>
    <t xml:space="preserve">Research Project Documentation </t>
  </si>
  <si>
    <t>4.1.1 Do they have older files?</t>
  </si>
  <si>
    <t xml:space="preserve"> 4.1.2 Obsolete data formats</t>
  </si>
  <si>
    <t xml:space="preserve"> 3.1.2 Naming Conventions:</t>
  </si>
  <si>
    <t xml:space="preserve"> 3.2.2 Version control issues:</t>
  </si>
  <si>
    <t>3.1.3 File Organization</t>
  </si>
  <si>
    <t>2.1.4 Data Format (MS Word, Excel, spss, html, jpg, etc.)</t>
  </si>
  <si>
    <t>3.1.6 File storage</t>
  </si>
  <si>
    <t>3.1.7 Backups</t>
  </si>
  <si>
    <t>3.1.4 Documentation</t>
  </si>
  <si>
    <t>Making original document “read only”</t>
  </si>
  <si>
    <t>Record every change to a file, no matter how small (Log files)</t>
  </si>
  <si>
    <t>Adhering to ITC recommended backup cycles with off-site storage</t>
  </si>
  <si>
    <t>Encryption is always used when storing and transferring sensitive data.</t>
  </si>
  <si>
    <t>Follows UVa’s “Electronic Data Removal” policy</t>
  </si>
  <si>
    <t>Faculty/staff who administer sensitive data are following appropriate federal, state, grant agency, or university regulations for protecting and backing up data.</t>
  </si>
  <si>
    <t xml:space="preserve">Cryptology technologies for data storage and transmission of data are based upon open standards. </t>
  </si>
  <si>
    <t>3 copies of data: 1 local, 1 on local server, 1 on remote server</t>
  </si>
  <si>
    <t>Have you read UVa’s Laboratory Notebook and Recordkeeping policy?</t>
  </si>
  <si>
    <t>Have you read UVa’s Ownership Rights in Copyrightable Material policy?</t>
  </si>
  <si>
    <t>DMP has been improved to include all 8 categories.</t>
  </si>
  <si>
    <t>Understands the need for metadata</t>
  </si>
  <si>
    <t>DMP has been reviewed by SciDaC</t>
  </si>
  <si>
    <t>DMP is being followed by all research team members.</t>
  </si>
  <si>
    <t>Use Same Structure for Backups</t>
  </si>
  <si>
    <t>2.1.1 General Category (experimental, simulation/computational, observational, derived/compiled)</t>
  </si>
  <si>
    <t>2.1.2 Creation  (sensors, instruments, software)</t>
  </si>
  <si>
    <t xml:space="preserve"> 3.1.1 Management Plan</t>
  </si>
  <si>
    <t>2.1.3 Data Type (docs, emails, databases, images, videos, etc.)</t>
  </si>
  <si>
    <t>2.1.5 Amount (#files, files sizes, growing?)</t>
  </si>
  <si>
    <t>2.1.6 Software</t>
  </si>
  <si>
    <t>3.1.5 File Backup/loss/recovery</t>
  </si>
  <si>
    <t>3.2.1 File sharing</t>
  </si>
  <si>
    <t>Deposited in Cloud Storage</t>
  </si>
  <si>
    <t>Uses File Version Control (perhaps SVN)</t>
  </si>
  <si>
    <t>File Formats Data Types</t>
  </si>
  <si>
    <t>Organization of Files</t>
  </si>
  <si>
    <t>Security Storage Backups</t>
  </si>
  <si>
    <t>Copyright Privacy Confidentiality</t>
  </si>
  <si>
    <t>Data Documentation Metadata</t>
  </si>
  <si>
    <t>5.1.3 Restrictions (Confidentiality, Sensitivity)</t>
  </si>
  <si>
    <t>Sustainability</t>
  </si>
  <si>
    <t>Phase</t>
  </si>
  <si>
    <t>Use a research community metadata standard.</t>
  </si>
  <si>
    <t>Action Statement</t>
  </si>
  <si>
    <t>Interview Topic</t>
  </si>
  <si>
    <t>Use non-proprietary or non-software specific file types</t>
  </si>
  <si>
    <t>Use standard representation file formats such as ASCII or Unicode</t>
  </si>
  <si>
    <t>Use file types and data formats that are commonly used by your research community</t>
  </si>
  <si>
    <t>Use a file naming convention specific to your research discipline</t>
  </si>
  <si>
    <t>Make the original document "read only" then use a copy for analysis</t>
  </si>
  <si>
    <t>Use log files to record every change made to a file no matter how small</t>
  </si>
  <si>
    <t>Use a file version control software to assist with versioning issues</t>
  </si>
  <si>
    <t>Use the same file structure for backups that is used in working directories</t>
  </si>
  <si>
    <t>Do local and regular data backups (start with local external hard drive)</t>
  </si>
  <si>
    <t>Work with ITC to be sure that all servers and computers containing research data are being backed up to their specifications (with regular cycles and off-site storage)</t>
  </si>
  <si>
    <t>Use encryption with storing and transferring sensitive data</t>
  </si>
  <si>
    <t>Read Uva's "Electronic Data Removal" Policy: http://itc.virginia.edu/security/securedelete/</t>
  </si>
  <si>
    <t>Remove all research subject identifying entities from protected data used in research projects</t>
  </si>
  <si>
    <t>Use your Uva supplied network directory or Collab to store your data (for temporary use only)</t>
  </si>
  <si>
    <t>Use cryptology technologies based on open standards for data storage and transmission</t>
  </si>
  <si>
    <t>Use appropriate environmental conditions for storage media</t>
  </si>
  <si>
    <t>Store data storage media and servers in a physically secure environment</t>
  </si>
  <si>
    <t>Have data backups formally administered by ITC or some other system administrator</t>
  </si>
  <si>
    <t>Deposit your data in a subject repository</t>
  </si>
  <si>
    <t>Use ITC's Hierarchical Storage Management (HSM): http://itc.virginia.edu/datastorage/hsm.html</t>
  </si>
  <si>
    <t>Store research data in Cloud Storage.</t>
  </si>
  <si>
    <t>Have 3 copies of data: 1 local, 1 on local server and 1 on a remote server</t>
  </si>
  <si>
    <t>Read Uva's "Laboratory Notebook and Recordkeeping" Policy: https://policy.itc.virginia.edu/policy/policydisplay?id='RES-002</t>
  </si>
  <si>
    <t>Properly document data sources used.</t>
  </si>
  <si>
    <t>Properly document the context of the data collection</t>
  </si>
  <si>
    <t>Properly document all data collection methods</t>
  </si>
  <si>
    <t>Informal DMP has been improved to include these 8 categories: File Formats and Data Types, Organizing Files, Security/Storage/Backups, Funding Guidelines, Copyright &amp; Privacy/Confidentiality, Data Documentation &amp; Metadata, Archiving &amp; Sharing Data, and Citing Data.</t>
  </si>
  <si>
    <t>Document all variable names and descriptions used in research data</t>
  </si>
  <si>
    <t>Total</t>
  </si>
  <si>
    <t>Understand and research appropriate metadata standards</t>
  </si>
  <si>
    <t>Document structure and organization of data files</t>
  </si>
  <si>
    <t>Have SciDaC review DMP</t>
  </si>
  <si>
    <t>Document data validation and quality assurance processes</t>
  </si>
  <si>
    <t>Document and explain any codes and classification schemes used</t>
  </si>
  <si>
    <t>Document any file formats and software (including version) used</t>
  </si>
  <si>
    <t>Begin applying appropriate metadata standard to data and other research materials</t>
  </si>
  <si>
    <t>Document the analysis process from raw data to "finished" analyzed data.</t>
  </si>
  <si>
    <t>Document information regarding confidentiality, access and use conditions</t>
  </si>
  <si>
    <t>DMP is being followed by all members of the research team</t>
  </si>
  <si>
    <t>Fully apply the appropriate research community metadata standard to research data and materials.</t>
  </si>
  <si>
    <t>Create and use standardized filename convention schema</t>
  </si>
  <si>
    <t>Applicable?</t>
  </si>
  <si>
    <t>Sustainability Index</t>
  </si>
  <si>
    <t>Time</t>
  </si>
  <si>
    <t>Cost</t>
  </si>
  <si>
    <t>Total Possible:</t>
  </si>
  <si>
    <t>Use a consistent file structure for all of your files</t>
  </si>
  <si>
    <t>Document any algorithms used to transform data</t>
  </si>
  <si>
    <t>Read Uva's "Ownership Rights in Copyrightable Material" Policy: https://policy.itc.virginia.edu/policy/policydisplay?id='RES-001</t>
  </si>
  <si>
    <t xml:space="preserve"> Basic, informal DMP exists and has been communicated</t>
  </si>
  <si>
    <t>DMP only exists in researcher's mind, has not been communicated to research team</t>
  </si>
  <si>
    <t>Using file naming conventions</t>
  </si>
  <si>
    <t>Using file naming conventions for specific disciplines</t>
  </si>
  <si>
    <t>Using a consistent file structure</t>
  </si>
  <si>
    <t>Has documented data sources used</t>
  </si>
  <si>
    <t>Has documented context of data collection (location, temp, etc.)</t>
  </si>
  <si>
    <t>Has documented data collection methods</t>
  </si>
  <si>
    <t>Has documented variable names and descriptions</t>
  </si>
  <si>
    <t>Has explained file structure and organization of data files</t>
  </si>
  <si>
    <t>Is performing data validation and quality assurance</t>
  </si>
  <si>
    <t>Has documented file format and software (including version) used.</t>
  </si>
  <si>
    <t>Creates metadata at a basic level (informally)</t>
  </si>
  <si>
    <t>Has documented transformations of data from the raw data through analysis</t>
  </si>
  <si>
    <t>Has documented information on confidentiality, access &amp; use conditions</t>
  </si>
  <si>
    <t>Has documented algorithms used to transform data</t>
  </si>
  <si>
    <t>Data is stored on hard-drives or network attached storage (NAS)</t>
  </si>
  <si>
    <t>Data is stored on their home directory or Uva Collab (temporary)</t>
  </si>
  <si>
    <t>Have storage media in appropriate environmental conditions</t>
  </si>
  <si>
    <t>Have data stored in physically secured environment</t>
  </si>
  <si>
    <t>Backups are being formally administered (on a regular schedule)</t>
  </si>
  <si>
    <t>Data is deposited in a subject archive (repository)</t>
  </si>
  <si>
    <t>Using ITC Hierarchical Storage Management (HSM)</t>
  </si>
  <si>
    <t>Open standard representation (ASCII, Unicode, CSV, txt)</t>
  </si>
  <si>
    <t>Common software or filetype used by the research community (may be proprietary)</t>
  </si>
  <si>
    <t>A DMP is the basis of all data management, and is a critical tool in protecting the continuity of your research process.  Once in place, it can continually be updated, provided to new members of the lab as guidelines, and easily be applied to future grant proposals.   We will work with you to develop an appropriate plan for managing your data.  This is a fundamental first step in improving process.</t>
  </si>
  <si>
    <t>NULL</t>
  </si>
  <si>
    <t>Versions are managed</t>
  </si>
  <si>
    <t>File changes are recorded</t>
  </si>
  <si>
    <t>All file formats or data types are current</t>
  </si>
  <si>
    <t>Encrypted sensitive data</t>
  </si>
  <si>
    <t>Data is de-identified</t>
  </si>
  <si>
    <t>Following regulations for protecting and backing up data</t>
  </si>
  <si>
    <t>Doing backups (basic)</t>
  </si>
  <si>
    <t>Total Possible</t>
  </si>
  <si>
    <t>Avoids proprietary software file types</t>
  </si>
  <si>
    <t>Software agnostic file formats used</t>
  </si>
  <si>
    <t xml:space="preserve">Total </t>
  </si>
  <si>
    <t>Files are organized and can be found</t>
  </si>
  <si>
    <t>Data stored securely</t>
  </si>
  <si>
    <t>Data stored on CDs or DVDs</t>
  </si>
  <si>
    <t>Data stored on readable media</t>
  </si>
  <si>
    <t>Explains codes and classification schemes used</t>
  </si>
  <si>
    <t>Up-to-date data formats</t>
  </si>
  <si>
    <t>YES</t>
  </si>
  <si>
    <t>NO</t>
  </si>
  <si>
    <t>Total YES</t>
  </si>
  <si>
    <t>Sustainability Index Average</t>
  </si>
  <si>
    <t>Data Management Maturity Level</t>
  </si>
  <si>
    <t>Store data and other electronic research materials on hard drives or networked attached storage ( no CD or DVD’s)</t>
  </si>
  <si>
    <t>Ratio</t>
  </si>
  <si>
    <t>Least Sustainable (*1)</t>
  </si>
  <si>
    <t>Fair (*2)</t>
  </si>
  <si>
    <t>Satisfactory (*3)</t>
  </si>
  <si>
    <t>Good (*4)</t>
  </si>
  <si>
    <t>More Sustainable (*5)</t>
  </si>
  <si>
    <t>Total YES:</t>
  </si>
  <si>
    <t>Ratio/Score</t>
  </si>
  <si>
    <r>
      <t>2.2</t>
    </r>
    <r>
      <rPr>
        <b/>
        <sz val="18"/>
        <color indexed="8"/>
        <rFont val="Times New Roman"/>
        <family val="1"/>
      </rPr>
      <t xml:space="preserve">   </t>
    </r>
    <r>
      <rPr>
        <b/>
        <sz val="18"/>
        <color theme="1"/>
        <rFont val="Calibri"/>
        <family val="2"/>
        <scheme val="minor"/>
      </rPr>
      <t>Are these files yours or do they belong to a wider group or to the institution? Who owns the Intellectual Property rights of the data you create?</t>
    </r>
  </si>
  <si>
    <r>
      <t>3.1</t>
    </r>
    <r>
      <rPr>
        <sz val="18"/>
        <color indexed="8"/>
        <rFont val="Times New Roman"/>
        <family val="1"/>
      </rPr>
      <t xml:space="preserve">   </t>
    </r>
    <r>
      <rPr>
        <sz val="18"/>
        <color theme="1"/>
        <rFont val="Calibri"/>
        <family val="2"/>
        <scheme val="minor"/>
      </rPr>
      <t>Do you have a data management plan? Who is responsible for managing the data? Are you using any filing or naming conventions for the files? How are the files organized?  Is there any documentation on the files and/or data fields?</t>
    </r>
    <r>
      <rPr>
        <i/>
        <sz val="18"/>
        <color theme="1"/>
        <rFont val="Calibri"/>
        <family val="2"/>
        <scheme val="minor"/>
      </rPr>
      <t xml:space="preserve"> </t>
    </r>
  </si>
  <si>
    <r>
      <t>3.2</t>
    </r>
    <r>
      <rPr>
        <sz val="18"/>
        <color indexed="8"/>
        <rFont val="Times New Roman"/>
        <family val="1"/>
      </rPr>
      <t xml:space="preserve">   </t>
    </r>
    <r>
      <rPr>
        <sz val="18"/>
        <color theme="1"/>
        <rFont val="Calibri"/>
        <family val="2"/>
        <scheme val="minor"/>
      </rPr>
      <t>How do you share data - among lab group or other colleagues (e-mail, shared drive, removable devices, CD, web pages, other)? Have you had version control issues with many people working on the same data file?</t>
    </r>
  </si>
  <si>
    <r>
      <t>4.1</t>
    </r>
    <r>
      <rPr>
        <sz val="18"/>
        <color indexed="8"/>
        <rFont val="Times New Roman"/>
        <family val="1"/>
      </rPr>
      <t xml:space="preserve">   </t>
    </r>
    <r>
      <rPr>
        <sz val="18"/>
        <color theme="1"/>
        <rFont val="Calibri"/>
        <family val="2"/>
        <scheme val="minor"/>
      </rPr>
      <t>What challenges have you faced in terms of storage, formats, costs, and continued access to older data?</t>
    </r>
  </si>
  <si>
    <r>
      <t>5.1</t>
    </r>
    <r>
      <rPr>
        <sz val="18"/>
        <color indexed="8"/>
        <rFont val="Times New Roman"/>
        <family val="1"/>
      </rPr>
      <t xml:space="preserve">   </t>
    </r>
    <r>
      <rPr>
        <sz val="18"/>
        <color theme="1"/>
        <rFont val="Calibri"/>
        <family val="2"/>
        <scheme val="minor"/>
      </rPr>
      <t xml:space="preserve">Have you been asked to provide or share your data?   Could or should your data be reused or repurposed by others, and if so, how and by whom? </t>
    </r>
  </si>
  <si>
    <r>
      <t>5.2</t>
    </r>
    <r>
      <rPr>
        <sz val="18"/>
        <color indexed="8"/>
        <rFont val="Times New Roman"/>
        <family val="1"/>
      </rPr>
      <t xml:space="preserve">   </t>
    </r>
    <r>
      <rPr>
        <sz val="18"/>
        <color theme="1"/>
        <rFont val="Calibri"/>
        <family val="2"/>
        <scheme val="minor"/>
      </rPr>
      <t>What does the future of your data look like?  Does all of it need to be kept?</t>
    </r>
  </si>
  <si>
    <r>
      <t>q</t>
    </r>
    <r>
      <rPr>
        <sz val="18"/>
        <color theme="0" tint="-0.499984740745262"/>
        <rFont val="Times New Roman"/>
        <family val="1"/>
      </rPr>
      <t xml:space="preserve">  </t>
    </r>
    <r>
      <rPr>
        <sz val="18"/>
        <color theme="0" tint="-0.499984740745262"/>
        <rFont val="Calibri"/>
        <family val="2"/>
        <scheme val="minor"/>
      </rPr>
      <t>5.1.1 Publisher requirement</t>
    </r>
  </si>
  <si>
    <r>
      <t>q</t>
    </r>
    <r>
      <rPr>
        <sz val="18"/>
        <color theme="0" tint="-0.499984740745262"/>
        <rFont val="Times New Roman"/>
        <family val="1"/>
      </rPr>
      <t xml:space="preserve">  </t>
    </r>
    <r>
      <rPr>
        <sz val="18"/>
        <color theme="0" tint="-0.499984740745262"/>
        <rFont val="Calibri"/>
        <family val="2"/>
        <scheme val="minor"/>
      </rPr>
      <t>5.2.1 Raw or processed data or both</t>
    </r>
  </si>
  <si>
    <r>
      <t>q</t>
    </r>
    <r>
      <rPr>
        <sz val="18"/>
        <color theme="0" tint="-0.499984740745262"/>
        <rFont val="Times New Roman"/>
        <family val="1"/>
      </rPr>
      <t xml:space="preserve">  </t>
    </r>
    <r>
      <rPr>
        <sz val="18"/>
        <color theme="0" tint="-0.499984740745262"/>
        <rFont val="Calibri"/>
        <family val="2"/>
        <scheme val="minor"/>
      </rPr>
      <t>5.1.2 Funder requirement</t>
    </r>
  </si>
  <si>
    <r>
      <t>q</t>
    </r>
    <r>
      <rPr>
        <sz val="18"/>
        <color theme="0" tint="-0.499984740745262"/>
        <rFont val="Times New Roman"/>
        <family val="1"/>
      </rPr>
      <t xml:space="preserve">  </t>
    </r>
    <r>
      <rPr>
        <sz val="18"/>
        <color theme="0" tint="-0.499984740745262"/>
        <rFont val="Calibri"/>
        <family val="2"/>
        <scheme val="minor"/>
      </rPr>
      <t>5.2.2 Who decides? Who is responsible?</t>
    </r>
  </si>
  <si>
    <r>
      <t>q</t>
    </r>
    <r>
      <rPr>
        <sz val="18"/>
        <color theme="0" tint="-0.499984740745262"/>
        <rFont val="Times New Roman"/>
        <family val="1"/>
      </rPr>
      <t xml:space="preserve">  </t>
    </r>
    <r>
      <rPr>
        <sz val="18"/>
        <color theme="0" tint="-0.499984740745262"/>
        <rFont val="Calibri"/>
        <family val="2"/>
        <scheme val="minor"/>
      </rPr>
      <t>5.2.3 Where?</t>
    </r>
  </si>
  <si>
    <r>
      <t>q</t>
    </r>
    <r>
      <rPr>
        <sz val="18"/>
        <color theme="0" tint="-0.499984740745262"/>
        <rFont val="Times New Roman"/>
        <family val="1"/>
      </rPr>
      <t xml:space="preserve">  </t>
    </r>
    <r>
      <rPr>
        <sz val="18"/>
        <color theme="0" tint="-0.499984740745262"/>
        <rFont val="Calibri"/>
        <family val="2"/>
        <scheme val="minor"/>
      </rPr>
      <t>5.2.4 How long?</t>
    </r>
  </si>
  <si>
    <r>
      <rPr>
        <b/>
        <sz val="18"/>
        <color indexed="8"/>
        <rFont val="Times New Roman"/>
        <family val="1"/>
      </rPr>
      <t xml:space="preserve"> </t>
    </r>
    <r>
      <rPr>
        <b/>
        <sz val="18"/>
        <color theme="1"/>
        <rFont val="Calibri"/>
        <family val="2"/>
        <scheme val="minor"/>
      </rPr>
      <t>4.1.3 Obsolete media</t>
    </r>
  </si>
  <si>
    <r>
      <rPr>
        <b/>
        <sz val="18"/>
        <rFont val="Calibri"/>
        <family val="2"/>
        <scheme val="minor"/>
      </rPr>
      <t xml:space="preserve">4.1.4 Storage space </t>
    </r>
    <r>
      <rPr>
        <b/>
        <sz val="18"/>
        <color rgb="FFFF0000"/>
        <rFont val="Calibri"/>
        <family val="2"/>
        <scheme val="minor"/>
      </rPr>
      <t>(Also see 3.1.6 &amp; 3.1.7)</t>
    </r>
  </si>
  <si>
    <r>
      <t>q</t>
    </r>
    <r>
      <rPr>
        <sz val="18"/>
        <color theme="0" tint="-0.499984740745262"/>
        <rFont val="Times New Roman"/>
        <family val="1"/>
      </rPr>
      <t xml:space="preserve">  </t>
    </r>
    <r>
      <rPr>
        <sz val="18"/>
        <color theme="0" tint="-0.499984740745262"/>
        <rFont val="Calibri"/>
        <family val="2"/>
        <scheme val="minor"/>
      </rPr>
      <t>4.1.5 Costs</t>
    </r>
  </si>
  <si>
    <r>
      <t>q</t>
    </r>
    <r>
      <rPr>
        <sz val="18"/>
        <color theme="0" tint="-0.499984740745262"/>
        <rFont val="Times New Roman"/>
        <family val="1"/>
      </rPr>
      <t xml:space="preserve">  </t>
    </r>
    <r>
      <rPr>
        <sz val="18"/>
        <color theme="0" tint="-0.499984740745262"/>
        <rFont val="Calibri"/>
        <family val="2"/>
        <scheme val="minor"/>
      </rPr>
      <t>5.1.4 Documented for sharing</t>
    </r>
  </si>
  <si>
    <r>
      <t>q</t>
    </r>
    <r>
      <rPr>
        <sz val="18"/>
        <color theme="0" tint="-0.499984740745262"/>
        <rFont val="Times New Roman"/>
        <family val="1"/>
      </rPr>
      <t xml:space="preserve">  </t>
    </r>
    <r>
      <rPr>
        <sz val="18"/>
        <color theme="0" tint="-0.499984740745262"/>
        <rFont val="Calibri"/>
        <family val="2"/>
        <scheme val="minor"/>
      </rPr>
      <t>5.1.5 UVA IR</t>
    </r>
  </si>
</sst>
</file>

<file path=xl/styles.xml><?xml version="1.0" encoding="utf-8"?>
<styleSheet xmlns="http://schemas.openxmlformats.org/spreadsheetml/2006/main" xmlns:mc="http://schemas.openxmlformats.org/markup-compatibility/2006" xmlns:x14ac="http://schemas.microsoft.com/office/spreadsheetml/2009/9/ac" mc:Ignorable="x14ac">
  <fonts count="27" x14ac:knownFonts="1">
    <font>
      <sz val="11"/>
      <color theme="1"/>
      <name val="Calibri"/>
      <family val="2"/>
      <scheme val="minor"/>
    </font>
    <font>
      <sz val="11"/>
      <color theme="1"/>
      <name val="Calibri"/>
      <family val="2"/>
      <scheme val="minor"/>
    </font>
    <font>
      <u/>
      <sz val="11"/>
      <color theme="10"/>
      <name val="Calibri"/>
      <family val="2"/>
      <scheme val="minor"/>
    </font>
    <font>
      <sz val="10"/>
      <color theme="1"/>
      <name val="Calibri"/>
      <family val="2"/>
      <scheme val="minor"/>
    </font>
    <font>
      <b/>
      <sz val="10"/>
      <color theme="1"/>
      <name val="Calibri"/>
      <family val="2"/>
      <scheme val="minor"/>
    </font>
    <font>
      <sz val="10"/>
      <color indexed="8"/>
      <name val="MS Gothic"/>
      <family val="3"/>
    </font>
    <font>
      <sz val="10"/>
      <color indexed="8"/>
      <name val="Arial"/>
      <family val="2"/>
    </font>
    <font>
      <sz val="10"/>
      <name val="Calibri"/>
      <family val="2"/>
      <scheme val="minor"/>
    </font>
    <font>
      <b/>
      <sz val="11"/>
      <color theme="1"/>
      <name val="Calibri"/>
      <family val="2"/>
      <scheme val="minor"/>
    </font>
    <font>
      <sz val="8"/>
      <name val="Verdana"/>
    </font>
    <font>
      <b/>
      <sz val="10"/>
      <color indexed="8"/>
      <name val="MS Gothic"/>
      <family val="3"/>
    </font>
    <font>
      <b/>
      <sz val="12"/>
      <color theme="1"/>
      <name val="Calibri"/>
      <family val="2"/>
      <scheme val="minor"/>
    </font>
    <font>
      <b/>
      <sz val="12"/>
      <color indexed="8"/>
      <name val="Calibri"/>
      <family val="2"/>
      <scheme val="minor"/>
    </font>
    <font>
      <b/>
      <sz val="12"/>
      <color indexed="8"/>
      <name val="MS Gothic"/>
      <family val="3"/>
    </font>
    <font>
      <sz val="18"/>
      <color theme="1"/>
      <name val="Calibri"/>
      <family val="2"/>
      <scheme val="minor"/>
    </font>
    <font>
      <b/>
      <sz val="18"/>
      <color theme="1"/>
      <name val="Calibri"/>
      <family val="2"/>
      <scheme val="minor"/>
    </font>
    <font>
      <b/>
      <sz val="18"/>
      <color indexed="8"/>
      <name val="Times New Roman"/>
      <family val="1"/>
    </font>
    <font>
      <sz val="18"/>
      <color indexed="8"/>
      <name val="Times New Roman"/>
      <family val="1"/>
    </font>
    <font>
      <i/>
      <sz val="18"/>
      <color theme="1"/>
      <name val="Calibri"/>
      <family val="2"/>
      <scheme val="minor"/>
    </font>
    <font>
      <sz val="18"/>
      <color theme="0" tint="-0.499984740745262"/>
      <name val="Calibri"/>
      <family val="2"/>
      <scheme val="minor"/>
    </font>
    <font>
      <sz val="18"/>
      <color indexed="8"/>
      <name val="Wingdings"/>
      <charset val="2"/>
    </font>
    <font>
      <sz val="18"/>
      <color theme="0" tint="-0.499984740745262"/>
      <name val="Wingdings"/>
      <charset val="2"/>
    </font>
    <font>
      <sz val="18"/>
      <color theme="0" tint="-0.499984740745262"/>
      <name val="Times New Roman"/>
      <family val="1"/>
    </font>
    <font>
      <b/>
      <sz val="18"/>
      <name val="Calibri"/>
      <family val="2"/>
      <scheme val="minor"/>
    </font>
    <font>
      <b/>
      <sz val="18"/>
      <color indexed="8"/>
      <name val="Wingdings"/>
      <charset val="2"/>
    </font>
    <font>
      <b/>
      <sz val="18"/>
      <color theme="0" tint="-0.499984740745262"/>
      <name val="Calibri"/>
      <family val="2"/>
      <scheme val="minor"/>
    </font>
    <font>
      <b/>
      <sz val="18"/>
      <color rgb="FFFF0000"/>
      <name val="Calibri"/>
      <family val="2"/>
      <scheme val="minor"/>
    </font>
  </fonts>
  <fills count="12">
    <fill>
      <patternFill patternType="none"/>
    </fill>
    <fill>
      <patternFill patternType="gray125"/>
    </fill>
    <fill>
      <patternFill patternType="solid">
        <fgColor theme="4" tint="0.79998168889431442"/>
        <bgColor indexed="64"/>
      </patternFill>
    </fill>
    <fill>
      <patternFill patternType="solid">
        <fgColor rgb="FF92D050"/>
        <bgColor indexed="64"/>
      </patternFill>
    </fill>
    <fill>
      <patternFill patternType="solid">
        <fgColor theme="4" tint="0.59999389629810485"/>
        <bgColor indexed="64"/>
      </patternFill>
    </fill>
    <fill>
      <patternFill patternType="solid">
        <fgColor rgb="FFFF0000"/>
        <bgColor indexed="64"/>
      </patternFill>
    </fill>
    <fill>
      <patternFill patternType="solid">
        <fgColor theme="4" tint="0.39997558519241921"/>
        <bgColor indexed="64"/>
      </patternFill>
    </fill>
    <fill>
      <patternFill patternType="solid">
        <fgColor theme="3" tint="0.59999389629810485"/>
        <bgColor indexed="64"/>
      </patternFill>
    </fill>
    <fill>
      <patternFill patternType="solid">
        <fgColor rgb="FFFFFF00"/>
        <bgColor indexed="64"/>
      </patternFill>
    </fill>
    <fill>
      <patternFill patternType="solid">
        <fgColor rgb="FFFFC000"/>
        <bgColor indexed="64"/>
      </patternFill>
    </fill>
    <fill>
      <patternFill patternType="solid">
        <fgColor theme="7" tint="0.39994506668294322"/>
        <bgColor indexed="64"/>
      </patternFill>
    </fill>
    <fill>
      <patternFill patternType="solid">
        <fgColor theme="5"/>
        <bgColor indexed="64"/>
      </patternFill>
    </fill>
  </fills>
  <borders count="12">
    <border>
      <left/>
      <right/>
      <top/>
      <bottom/>
      <diagonal/>
    </border>
    <border>
      <left style="thin">
        <color auto="1"/>
      </left>
      <right style="thin">
        <color auto="1"/>
      </right>
      <top style="thin">
        <color auto="1"/>
      </top>
      <bottom style="thin">
        <color auto="1"/>
      </bottom>
      <diagonal/>
    </border>
    <border>
      <left style="thin">
        <color auto="1"/>
      </left>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bottom style="thin">
        <color auto="1"/>
      </bottom>
      <diagonal/>
    </border>
    <border>
      <left/>
      <right/>
      <top style="thin">
        <color auto="1"/>
      </top>
      <bottom style="thin">
        <color auto="1"/>
      </bottom>
      <diagonal/>
    </border>
    <border>
      <left style="thin">
        <color auto="1"/>
      </left>
      <right style="thin">
        <color auto="1"/>
      </right>
      <top style="thin">
        <color auto="1"/>
      </top>
      <bottom style="double">
        <color auto="1"/>
      </bottom>
      <diagonal/>
    </border>
    <border>
      <left style="thin">
        <color auto="1"/>
      </left>
      <right style="thin">
        <color auto="1"/>
      </right>
      <top style="thin">
        <color auto="1"/>
      </top>
      <bottom/>
      <diagonal/>
    </border>
    <border>
      <left style="thin">
        <color auto="1"/>
      </left>
      <right style="thin">
        <color auto="1"/>
      </right>
      <top style="thick">
        <color auto="1"/>
      </top>
      <bottom style="thin">
        <color auto="1"/>
      </bottom>
      <diagonal/>
    </border>
    <border>
      <left/>
      <right/>
      <top style="thin">
        <color auto="1"/>
      </top>
      <bottom/>
      <diagonal/>
    </border>
    <border>
      <left style="thin">
        <color auto="1"/>
      </left>
      <right style="thin">
        <color auto="1"/>
      </right>
      <top/>
      <bottom style="thin">
        <color auto="1"/>
      </bottom>
      <diagonal/>
    </border>
  </borders>
  <cellStyleXfs count="3">
    <xf numFmtId="0" fontId="0" fillId="0" borderId="0"/>
    <xf numFmtId="0" fontId="2" fillId="0" borderId="0" applyNumberFormat="0" applyFill="0" applyBorder="0" applyAlignment="0" applyProtection="0"/>
    <xf numFmtId="9" fontId="1" fillId="0" borderId="0" applyFont="0" applyFill="0" applyBorder="0" applyAlignment="0" applyProtection="0"/>
  </cellStyleXfs>
  <cellXfs count="210">
    <xf numFmtId="0" fontId="0" fillId="0" borderId="0" xfId="0"/>
    <xf numFmtId="0" fontId="0" fillId="0" borderId="0" xfId="0" applyAlignment="1">
      <alignment wrapText="1"/>
    </xf>
    <xf numFmtId="0" fontId="5" fillId="0" borderId="0" xfId="0" applyFont="1" applyBorder="1" applyAlignment="1">
      <alignment vertical="center" wrapText="1"/>
    </xf>
    <xf numFmtId="0" fontId="5" fillId="0" borderId="0" xfId="0" applyFont="1" applyBorder="1" applyAlignment="1">
      <alignment horizontal="left" vertical="center" wrapText="1"/>
    </xf>
    <xf numFmtId="0" fontId="4" fillId="0" borderId="0" xfId="0" applyFont="1" applyBorder="1" applyAlignment="1">
      <alignment vertical="center" wrapText="1"/>
    </xf>
    <xf numFmtId="0" fontId="3" fillId="0" borderId="0" xfId="0" applyFont="1" applyBorder="1" applyAlignment="1">
      <alignment vertical="top" wrapText="1"/>
    </xf>
    <xf numFmtId="0" fontId="3" fillId="0" borderId="0" xfId="0" applyFont="1" applyBorder="1" applyAlignment="1">
      <alignment horizontal="left" vertical="center" wrapText="1"/>
    </xf>
    <xf numFmtId="0" fontId="3" fillId="0" borderId="0" xfId="0" applyFont="1" applyFill="1" applyBorder="1" applyAlignment="1">
      <alignment vertical="center" wrapText="1"/>
    </xf>
    <xf numFmtId="0" fontId="0" fillId="0" borderId="0" xfId="0" applyBorder="1" applyAlignment="1">
      <alignment wrapText="1"/>
    </xf>
    <xf numFmtId="0" fontId="3" fillId="0" borderId="0" xfId="0" applyFont="1" applyBorder="1" applyAlignment="1">
      <alignment vertical="center" wrapText="1"/>
    </xf>
    <xf numFmtId="0" fontId="5" fillId="0" borderId="0" xfId="0" applyFont="1" applyFill="1" applyBorder="1" applyAlignment="1">
      <alignment vertical="center" wrapText="1"/>
    </xf>
    <xf numFmtId="0" fontId="3" fillId="0" borderId="0" xfId="0" applyFont="1" applyFill="1" applyBorder="1" applyAlignment="1">
      <alignment horizontal="left" vertical="center" wrapText="1"/>
    </xf>
    <xf numFmtId="0" fontId="3" fillId="0" borderId="0" xfId="0" applyFont="1" applyFill="1" applyBorder="1" applyAlignment="1">
      <alignment vertical="top" wrapText="1"/>
    </xf>
    <xf numFmtId="0" fontId="4" fillId="0" borderId="0" xfId="0" applyFont="1" applyFill="1" applyBorder="1" applyAlignment="1">
      <alignment vertical="center" wrapText="1"/>
    </xf>
    <xf numFmtId="0" fontId="5" fillId="0" borderId="0" xfId="0" applyFont="1" applyFill="1" applyBorder="1" applyAlignment="1">
      <alignment horizontal="left" vertical="center" wrapText="1"/>
    </xf>
    <xf numFmtId="0" fontId="0" fillId="0" borderId="0" xfId="0" applyBorder="1"/>
    <xf numFmtId="0" fontId="0" fillId="0" borderId="0" xfId="0" applyFill="1" applyBorder="1" applyAlignment="1">
      <alignment wrapText="1"/>
    </xf>
    <xf numFmtId="0" fontId="0" fillId="0" borderId="0" xfId="0" applyAlignment="1">
      <alignment horizontal="center" vertical="center" wrapText="1"/>
    </xf>
    <xf numFmtId="0" fontId="0" fillId="0" borderId="0" xfId="0" applyAlignment="1">
      <alignment horizontal="center" vertical="center"/>
    </xf>
    <xf numFmtId="0" fontId="0" fillId="0" borderId="0" xfId="0" applyAlignment="1">
      <alignment horizontal="center"/>
    </xf>
    <xf numFmtId="0" fontId="4" fillId="0" borderId="0" xfId="0" applyFont="1" applyBorder="1" applyAlignment="1">
      <alignment horizontal="center" vertical="center" wrapText="1"/>
    </xf>
    <xf numFmtId="0" fontId="0" fillId="0" borderId="0" xfId="0" applyBorder="1" applyAlignment="1">
      <alignment horizontal="center" vertical="center" wrapText="1"/>
    </xf>
    <xf numFmtId="0" fontId="5" fillId="0" borderId="0" xfId="0" applyFont="1" applyBorder="1" applyAlignment="1">
      <alignment horizontal="center" vertical="center" wrapText="1"/>
    </xf>
    <xf numFmtId="0" fontId="3" fillId="0" borderId="0" xfId="0" applyFont="1" applyBorder="1" applyAlignment="1">
      <alignment horizontal="center" vertical="top" wrapText="1"/>
    </xf>
    <xf numFmtId="0" fontId="0" fillId="0" borderId="0" xfId="0" applyBorder="1" applyAlignment="1">
      <alignment horizontal="center" wrapText="1"/>
    </xf>
    <xf numFmtId="0" fontId="3" fillId="0" borderId="0" xfId="0" applyFont="1" applyBorder="1" applyAlignment="1">
      <alignment horizontal="center" vertical="center" wrapText="1"/>
    </xf>
    <xf numFmtId="0" fontId="4" fillId="0" borderId="0" xfId="0" applyFont="1" applyFill="1" applyBorder="1" applyAlignment="1">
      <alignment horizontal="center" vertical="center" wrapText="1"/>
    </xf>
    <xf numFmtId="0" fontId="4" fillId="0" borderId="2" xfId="0" applyFont="1" applyBorder="1" applyAlignment="1">
      <alignment horizontal="center" vertical="center" wrapText="1"/>
    </xf>
    <xf numFmtId="0" fontId="3" fillId="0" borderId="0" xfId="0" applyFont="1" applyFill="1" applyBorder="1" applyAlignment="1">
      <alignment horizontal="center" vertical="center" wrapText="1"/>
    </xf>
    <xf numFmtId="0" fontId="3" fillId="0" borderId="0" xfId="0" applyFont="1" applyFill="1" applyBorder="1" applyAlignment="1">
      <alignment horizontal="center" vertical="top" wrapText="1"/>
    </xf>
    <xf numFmtId="0" fontId="6" fillId="0" borderId="0" xfId="0" applyFont="1" applyFill="1" applyBorder="1" applyAlignment="1">
      <alignment horizontal="center" vertical="center" wrapText="1"/>
    </xf>
    <xf numFmtId="0" fontId="0" fillId="0" borderId="0" xfId="0" applyFill="1" applyBorder="1" applyAlignment="1">
      <alignment horizontal="center" vertical="center" wrapText="1"/>
    </xf>
    <xf numFmtId="0" fontId="0" fillId="0" borderId="0" xfId="0" applyFill="1" applyBorder="1" applyAlignment="1">
      <alignment horizontal="center" wrapText="1"/>
    </xf>
    <xf numFmtId="0" fontId="0" fillId="0" borderId="0" xfId="0" applyBorder="1" applyAlignment="1">
      <alignment horizontal="center"/>
    </xf>
    <xf numFmtId="0" fontId="3" fillId="0" borderId="1" xfId="0" applyFont="1" applyFill="1" applyBorder="1" applyAlignment="1">
      <alignment horizontal="left" vertical="center" wrapText="1"/>
    </xf>
    <xf numFmtId="2" fontId="0" fillId="0" borderId="0" xfId="0" applyNumberFormat="1" applyAlignment="1">
      <alignment horizontal="right"/>
    </xf>
    <xf numFmtId="2" fontId="0" fillId="0" borderId="0" xfId="0" applyNumberFormat="1" applyBorder="1" applyAlignment="1">
      <alignment horizontal="right"/>
    </xf>
    <xf numFmtId="0" fontId="0" fillId="0" borderId="0" xfId="0" applyAlignment="1">
      <alignment horizontal="right"/>
    </xf>
    <xf numFmtId="0" fontId="0" fillId="0" borderId="0" xfId="0" applyAlignment="1">
      <alignment horizontal="right" wrapText="1"/>
    </xf>
    <xf numFmtId="2" fontId="0" fillId="0" borderId="0" xfId="0" applyNumberFormat="1" applyAlignment="1">
      <alignment horizontal="right" wrapText="1"/>
    </xf>
    <xf numFmtId="2" fontId="3" fillId="0" borderId="0" xfId="0" applyNumberFormat="1" applyFont="1" applyBorder="1" applyAlignment="1">
      <alignment horizontal="right" wrapText="1"/>
    </xf>
    <xf numFmtId="2" fontId="3" fillId="0" borderId="0" xfId="0" applyNumberFormat="1" applyFont="1" applyFill="1" applyBorder="1" applyAlignment="1">
      <alignment horizontal="right" wrapText="1"/>
    </xf>
    <xf numFmtId="0" fontId="8" fillId="0" borderId="0" xfId="0" applyFont="1" applyBorder="1"/>
    <xf numFmtId="2" fontId="8" fillId="0" borderId="0" xfId="0" applyNumberFormat="1" applyFont="1" applyBorder="1" applyAlignment="1">
      <alignment horizontal="right"/>
    </xf>
    <xf numFmtId="2" fontId="0" fillId="0" borderId="0" xfId="0" applyNumberFormat="1" applyAlignment="1">
      <alignment horizontal="center" vertical="center"/>
    </xf>
    <xf numFmtId="2" fontId="8" fillId="0" borderId="6" xfId="0" applyNumberFormat="1" applyFont="1" applyBorder="1" applyAlignment="1">
      <alignment horizontal="center" vertical="center"/>
    </xf>
    <xf numFmtId="0" fontId="0" fillId="0" borderId="1" xfId="0" quotePrefix="1" applyBorder="1" applyAlignment="1">
      <alignment horizontal="center" vertical="center"/>
    </xf>
    <xf numFmtId="0" fontId="8" fillId="0" borderId="6" xfId="0" applyFont="1" applyBorder="1" applyAlignment="1">
      <alignment horizontal="center" vertical="center" wrapText="1"/>
    </xf>
    <xf numFmtId="2" fontId="8" fillId="0" borderId="6" xfId="0" applyNumberFormat="1" applyFont="1" applyBorder="1" applyAlignment="1">
      <alignment horizontal="left" vertical="center"/>
    </xf>
    <xf numFmtId="0" fontId="0" fillId="0" borderId="0" xfId="0" quotePrefix="1" applyBorder="1" applyAlignment="1">
      <alignment horizontal="center" vertical="center"/>
    </xf>
    <xf numFmtId="0" fontId="0" fillId="0" borderId="1" xfId="0" applyBorder="1" applyAlignment="1">
      <alignment wrapText="1"/>
    </xf>
    <xf numFmtId="0" fontId="0" fillId="0" borderId="1" xfId="0" applyBorder="1"/>
    <xf numFmtId="0" fontId="4" fillId="0" borderId="1" xfId="0" applyFont="1" applyBorder="1" applyAlignment="1">
      <alignment horizontal="center" vertical="top" wrapText="1"/>
    </xf>
    <xf numFmtId="0" fontId="4" fillId="0" borderId="1" xfId="0" applyFont="1" applyBorder="1" applyAlignment="1">
      <alignment vertical="top" wrapText="1"/>
    </xf>
    <xf numFmtId="0" fontId="4" fillId="0" borderId="1" xfId="0" applyFont="1" applyBorder="1" applyAlignment="1">
      <alignment horizontal="center" vertical="center" wrapText="1"/>
    </xf>
    <xf numFmtId="0" fontId="8" fillId="0" borderId="1" xfId="0" applyFont="1" applyBorder="1" applyAlignment="1">
      <alignment horizontal="center" wrapText="1"/>
    </xf>
    <xf numFmtId="0" fontId="8" fillId="0" borderId="1" xfId="0" applyFont="1" applyBorder="1" applyAlignment="1">
      <alignment wrapText="1"/>
    </xf>
    <xf numFmtId="0" fontId="8" fillId="0" borderId="1" xfId="0" applyFont="1" applyBorder="1"/>
    <xf numFmtId="0" fontId="8" fillId="0" borderId="1" xfId="0" applyFont="1" applyBorder="1" applyAlignment="1">
      <alignment horizontal="center"/>
    </xf>
    <xf numFmtId="0" fontId="4" fillId="0" borderId="1" xfId="0" applyFont="1" applyBorder="1" applyAlignment="1">
      <alignment vertical="center" wrapText="1"/>
    </xf>
    <xf numFmtId="0" fontId="8" fillId="8" borderId="7" xfId="0" applyFont="1" applyFill="1" applyBorder="1" applyAlignment="1">
      <alignment wrapText="1"/>
    </xf>
    <xf numFmtId="0" fontId="8" fillId="8" borderId="7" xfId="0" applyFont="1" applyFill="1" applyBorder="1"/>
    <xf numFmtId="0" fontId="8" fillId="0" borderId="1" xfId="0" applyFont="1" applyBorder="1" applyAlignment="1">
      <alignment horizontal="center" vertical="center" wrapText="1"/>
    </xf>
    <xf numFmtId="0" fontId="8" fillId="0" borderId="0" xfId="0" applyFont="1" applyBorder="1" applyAlignment="1">
      <alignment horizontal="center" vertical="center" wrapText="1"/>
    </xf>
    <xf numFmtId="0" fontId="3" fillId="8" borderId="1" xfId="0" applyFont="1" applyFill="1" applyBorder="1" applyAlignment="1">
      <alignment horizontal="center" vertical="center" wrapText="1"/>
    </xf>
    <xf numFmtId="0" fontId="0" fillId="8" borderId="1" xfId="0" applyFill="1" applyBorder="1" applyAlignment="1">
      <alignment wrapText="1"/>
    </xf>
    <xf numFmtId="0" fontId="3" fillId="8" borderId="1" xfId="0" applyFont="1" applyFill="1" applyBorder="1" applyAlignment="1">
      <alignment horizontal="center" vertical="top" wrapText="1"/>
    </xf>
    <xf numFmtId="0" fontId="4" fillId="8" borderId="1" xfId="0" applyFont="1" applyFill="1" applyBorder="1" applyAlignment="1">
      <alignment horizontal="center" vertical="center" wrapText="1"/>
    </xf>
    <xf numFmtId="0" fontId="0" fillId="9" borderId="1" xfId="0" applyFill="1" applyBorder="1" applyAlignment="1">
      <alignment wrapText="1"/>
    </xf>
    <xf numFmtId="0" fontId="4" fillId="9" borderId="1" xfId="0" applyFont="1" applyFill="1" applyBorder="1" applyAlignment="1">
      <alignment vertical="center" wrapText="1"/>
    </xf>
    <xf numFmtId="0" fontId="8" fillId="0" borderId="0" xfId="0" applyFont="1" applyAlignment="1">
      <alignment wrapText="1"/>
    </xf>
    <xf numFmtId="0" fontId="0" fillId="0" borderId="5" xfId="0" applyBorder="1" applyAlignment="1">
      <alignment wrapText="1"/>
    </xf>
    <xf numFmtId="0" fontId="0" fillId="0" borderId="3" xfId="0" applyBorder="1" applyAlignment="1">
      <alignment wrapText="1"/>
    </xf>
    <xf numFmtId="0" fontId="3" fillId="0" borderId="0" xfId="0" applyFont="1" applyFill="1" applyBorder="1" applyAlignment="1">
      <alignment horizontal="left" vertical="top" wrapText="1"/>
    </xf>
    <xf numFmtId="0" fontId="0" fillId="0" borderId="0" xfId="0" applyNumberFormat="1" applyBorder="1" applyAlignment="1">
      <alignment horizontal="center" vertical="center" wrapText="1"/>
    </xf>
    <xf numFmtId="0" fontId="3" fillId="0" borderId="0" xfId="0" applyNumberFormat="1" applyFont="1" applyBorder="1" applyAlignment="1">
      <alignment horizontal="center" vertical="center" wrapText="1"/>
    </xf>
    <xf numFmtId="0" fontId="4" fillId="0" borderId="0" xfId="0" applyNumberFormat="1" applyFont="1" applyBorder="1" applyAlignment="1">
      <alignment horizontal="center" vertical="center" wrapText="1"/>
    </xf>
    <xf numFmtId="0" fontId="8" fillId="0" borderId="1" xfId="0" applyNumberFormat="1" applyFont="1" applyBorder="1" applyAlignment="1">
      <alignment horizontal="center" vertical="center" wrapText="1"/>
    </xf>
    <xf numFmtId="0" fontId="8" fillId="0" borderId="0" xfId="0" applyFont="1" applyBorder="1" applyAlignment="1">
      <alignment vertical="center" wrapText="1"/>
    </xf>
    <xf numFmtId="0" fontId="0" fillId="0" borderId="8" xfId="0" quotePrefix="1" applyBorder="1" applyAlignment="1">
      <alignment horizontal="center" vertical="center"/>
    </xf>
    <xf numFmtId="0" fontId="0" fillId="0" borderId="9" xfId="0" quotePrefix="1" applyBorder="1" applyAlignment="1">
      <alignment horizontal="center" vertical="center"/>
    </xf>
    <xf numFmtId="0" fontId="4" fillId="10" borderId="1" xfId="0" applyNumberFormat="1" applyFont="1" applyFill="1" applyBorder="1" applyAlignment="1">
      <alignment horizontal="center" vertical="center" wrapText="1"/>
    </xf>
    <xf numFmtId="0" fontId="8" fillId="10" borderId="1" xfId="0" applyFont="1" applyFill="1" applyBorder="1" applyAlignment="1">
      <alignment wrapText="1"/>
    </xf>
    <xf numFmtId="0" fontId="10" fillId="10" borderId="1" xfId="0" applyFont="1" applyFill="1" applyBorder="1" applyAlignment="1">
      <alignment horizontal="center" vertical="center" wrapText="1"/>
    </xf>
    <xf numFmtId="0" fontId="4" fillId="10" borderId="1" xfId="0" applyFont="1" applyFill="1" applyBorder="1" applyAlignment="1">
      <alignment horizontal="left" vertical="top" wrapText="1"/>
    </xf>
    <xf numFmtId="0" fontId="4" fillId="10" borderId="1" xfId="0" applyFont="1" applyFill="1" applyBorder="1" applyAlignment="1">
      <alignment horizontal="center" vertical="center" wrapText="1"/>
    </xf>
    <xf numFmtId="0" fontId="4" fillId="10" borderId="1" xfId="0" applyFont="1" applyFill="1" applyBorder="1" applyAlignment="1">
      <alignment horizontal="center" vertical="top" wrapText="1"/>
    </xf>
    <xf numFmtId="0" fontId="3" fillId="0" borderId="1" xfId="0" applyFont="1" applyFill="1" applyBorder="1" applyAlignment="1">
      <alignment horizontal="center" vertical="center" wrapText="1"/>
    </xf>
    <xf numFmtId="0" fontId="6" fillId="0" borderId="5" xfId="0" applyFont="1" applyFill="1" applyBorder="1" applyAlignment="1">
      <alignment horizontal="center" vertical="center" wrapText="1"/>
    </xf>
    <xf numFmtId="0" fontId="4" fillId="0" borderId="5" xfId="0" applyFont="1" applyFill="1" applyBorder="1" applyAlignment="1">
      <alignment vertical="center" wrapText="1"/>
    </xf>
    <xf numFmtId="0" fontId="3" fillId="0" borderId="5" xfId="0" applyFont="1" applyFill="1" applyBorder="1" applyAlignment="1">
      <alignment horizontal="center" vertical="top" wrapText="1"/>
    </xf>
    <xf numFmtId="0" fontId="3" fillId="0" borderId="10" xfId="0" applyFont="1" applyFill="1" applyBorder="1" applyAlignment="1">
      <alignment horizontal="center" vertical="top" wrapText="1"/>
    </xf>
    <xf numFmtId="0" fontId="3" fillId="0" borderId="10" xfId="0" applyFont="1" applyFill="1" applyBorder="1" applyAlignment="1">
      <alignment vertical="center" wrapText="1"/>
    </xf>
    <xf numFmtId="0" fontId="3" fillId="9" borderId="1" xfId="0" applyFont="1" applyFill="1" applyBorder="1" applyAlignment="1">
      <alignment horizontal="center" vertical="center" wrapText="1"/>
    </xf>
    <xf numFmtId="0" fontId="7" fillId="9" borderId="1" xfId="1" applyFont="1" applyFill="1" applyBorder="1" applyAlignment="1">
      <alignment horizontal="center" vertical="center" wrapText="1"/>
    </xf>
    <xf numFmtId="0" fontId="5" fillId="9" borderId="1" xfId="0" applyFont="1" applyFill="1" applyBorder="1" applyAlignment="1">
      <alignment horizontal="center" vertical="center" wrapText="1"/>
    </xf>
    <xf numFmtId="0" fontId="3" fillId="9" borderId="1" xfId="0" applyFont="1" applyFill="1" applyBorder="1" applyAlignment="1">
      <alignment horizontal="left" vertical="center" wrapText="1"/>
    </xf>
    <xf numFmtId="0" fontId="3" fillId="9" borderId="11" xfId="0" applyFont="1" applyFill="1" applyBorder="1" applyAlignment="1">
      <alignment horizontal="center" vertical="center" wrapText="1"/>
    </xf>
    <xf numFmtId="0" fontId="3" fillId="9" borderId="11" xfId="0" applyFont="1" applyFill="1" applyBorder="1" applyAlignment="1">
      <alignment horizontal="left" vertical="center" wrapText="1"/>
    </xf>
    <xf numFmtId="0" fontId="4" fillId="9" borderId="1" xfId="0" applyFont="1" applyFill="1" applyBorder="1" applyAlignment="1">
      <alignment horizontal="center" vertical="center" wrapText="1"/>
    </xf>
    <xf numFmtId="0" fontId="3" fillId="9" borderId="1" xfId="0" applyFont="1" applyFill="1" applyBorder="1" applyAlignment="1">
      <alignment horizontal="center" vertical="top" wrapText="1"/>
    </xf>
    <xf numFmtId="0" fontId="0" fillId="0" borderId="0" xfId="0" applyFont="1" applyBorder="1" applyAlignment="1">
      <alignment wrapText="1"/>
    </xf>
    <xf numFmtId="0" fontId="0" fillId="0" borderId="0" xfId="0" applyFont="1"/>
    <xf numFmtId="0" fontId="0" fillId="0" borderId="0" xfId="0" applyFont="1" applyAlignment="1">
      <alignment wrapText="1"/>
    </xf>
    <xf numFmtId="0" fontId="0" fillId="0" borderId="0" xfId="0" applyFont="1" applyBorder="1"/>
    <xf numFmtId="0" fontId="6" fillId="8" borderId="1" xfId="0" applyFont="1" applyFill="1" applyBorder="1" applyAlignment="1">
      <alignment horizontal="center" vertical="center" wrapText="1"/>
    </xf>
    <xf numFmtId="0" fontId="6" fillId="8" borderId="8" xfId="0" applyFont="1" applyFill="1" applyBorder="1" applyAlignment="1">
      <alignment horizontal="center" vertical="center" wrapText="1"/>
    </xf>
    <xf numFmtId="0" fontId="0" fillId="8" borderId="8" xfId="0" applyFill="1" applyBorder="1" applyAlignment="1">
      <alignment wrapText="1"/>
    </xf>
    <xf numFmtId="0" fontId="11" fillId="0" borderId="0" xfId="0" applyFont="1" applyAlignment="1">
      <alignment horizontal="center"/>
    </xf>
    <xf numFmtId="0" fontId="11" fillId="0" borderId="0" xfId="0" applyFont="1"/>
    <xf numFmtId="0" fontId="12" fillId="11" borderId="1" xfId="0" applyFont="1" applyFill="1" applyBorder="1" applyAlignment="1">
      <alignment horizontal="center" vertical="center" wrapText="1"/>
    </xf>
    <xf numFmtId="0" fontId="11" fillId="11" borderId="1" xfId="0" applyFont="1" applyFill="1" applyBorder="1" applyAlignment="1">
      <alignment horizontal="left" vertical="top" wrapText="1"/>
    </xf>
    <xf numFmtId="0" fontId="11" fillId="0" borderId="0" xfId="0" applyFont="1" applyFill="1" applyBorder="1" applyAlignment="1">
      <alignment vertical="center" wrapText="1"/>
    </xf>
    <xf numFmtId="0" fontId="13" fillId="0" borderId="0" xfId="0" applyFont="1" applyFill="1" applyBorder="1" applyAlignment="1">
      <alignment horizontal="center" vertical="center" wrapText="1"/>
    </xf>
    <xf numFmtId="0" fontId="11" fillId="0" borderId="0" xfId="0" applyFont="1" applyFill="1" applyBorder="1" applyAlignment="1">
      <alignment horizontal="left" vertical="center" wrapText="1"/>
    </xf>
    <xf numFmtId="0" fontId="11" fillId="11" borderId="1" xfId="0" applyFont="1" applyFill="1" applyBorder="1" applyAlignment="1">
      <alignment horizontal="center" vertical="center" wrapText="1"/>
    </xf>
    <xf numFmtId="0" fontId="11" fillId="11" borderId="1" xfId="0" applyFont="1" applyFill="1" applyBorder="1" applyAlignment="1">
      <alignment horizontal="left" vertical="center" wrapText="1"/>
    </xf>
    <xf numFmtId="0" fontId="11" fillId="0" borderId="0" xfId="0" applyFont="1" applyFill="1" applyBorder="1" applyAlignment="1">
      <alignment vertical="top" wrapText="1"/>
    </xf>
    <xf numFmtId="0" fontId="13" fillId="0" borderId="0" xfId="0" applyFont="1" applyFill="1" applyBorder="1" applyAlignment="1">
      <alignment vertical="center" wrapText="1"/>
    </xf>
    <xf numFmtId="0" fontId="11" fillId="11" borderId="1" xfId="0" applyFont="1" applyFill="1" applyBorder="1" applyAlignment="1">
      <alignment horizontal="center" vertical="top" wrapText="1"/>
    </xf>
    <xf numFmtId="0" fontId="11" fillId="11" borderId="1" xfId="0" applyFont="1" applyFill="1" applyBorder="1" applyAlignment="1">
      <alignment wrapText="1"/>
    </xf>
    <xf numFmtId="0" fontId="11" fillId="0" borderId="0" xfId="0" applyFont="1" applyFill="1" applyBorder="1" applyAlignment="1">
      <alignment horizontal="center"/>
    </xf>
    <xf numFmtId="0" fontId="11" fillId="0" borderId="0" xfId="0" applyFont="1" applyFill="1" applyBorder="1"/>
    <xf numFmtId="0" fontId="11" fillId="0" borderId="0" xfId="0" applyFont="1" applyFill="1" applyBorder="1" applyAlignment="1">
      <alignment horizontal="center" vertical="center" wrapText="1"/>
    </xf>
    <xf numFmtId="0" fontId="11" fillId="0" borderId="0" xfId="0" applyFont="1" applyFill="1" applyBorder="1" applyAlignment="1">
      <alignment horizontal="left" vertical="top" wrapText="1"/>
    </xf>
    <xf numFmtId="0" fontId="11" fillId="0" borderId="0" xfId="0" applyFont="1" applyBorder="1" applyAlignment="1">
      <alignment vertical="top" wrapText="1"/>
    </xf>
    <xf numFmtId="0" fontId="3" fillId="8" borderId="3" xfId="0" applyFont="1" applyFill="1" applyBorder="1" applyAlignment="1">
      <alignment horizontal="left" vertical="center" wrapText="1"/>
    </xf>
    <xf numFmtId="0" fontId="3" fillId="8" borderId="1" xfId="0" applyFont="1" applyFill="1" applyBorder="1" applyAlignment="1">
      <alignment horizontal="left" vertical="center" wrapText="1"/>
    </xf>
    <xf numFmtId="0" fontId="0" fillId="8" borderId="1" xfId="0" applyFill="1" applyBorder="1" applyAlignment="1">
      <alignment vertical="center" wrapText="1"/>
    </xf>
    <xf numFmtId="12" fontId="0" fillId="0" borderId="1" xfId="2" applyNumberFormat="1" applyFont="1" applyBorder="1" applyAlignment="1">
      <alignment horizontal="center" vertical="center" wrapText="1"/>
    </xf>
    <xf numFmtId="12" fontId="0" fillId="0" borderId="8" xfId="2" applyNumberFormat="1" applyFont="1" applyBorder="1" applyAlignment="1">
      <alignment horizontal="center" vertical="center" wrapText="1"/>
    </xf>
    <xf numFmtId="12" fontId="0" fillId="0" borderId="9" xfId="2" applyNumberFormat="1" applyFont="1" applyBorder="1" applyAlignment="1">
      <alignment horizontal="center" vertical="center" wrapText="1"/>
    </xf>
    <xf numFmtId="0" fontId="0" fillId="0" borderId="1" xfId="0" applyBorder="1" applyAlignment="1">
      <alignment horizontal="center" vertical="center"/>
    </xf>
    <xf numFmtId="0" fontId="8" fillId="0" borderId="3" xfId="0" applyFont="1" applyBorder="1" applyAlignment="1">
      <alignment vertical="center" wrapText="1"/>
    </xf>
    <xf numFmtId="0" fontId="0" fillId="0" borderId="4" xfId="0" applyBorder="1" applyAlignment="1">
      <alignment horizontal="center" vertical="center" wrapText="1"/>
    </xf>
    <xf numFmtId="0" fontId="8" fillId="2" borderId="3" xfId="0" applyFont="1" applyFill="1" applyBorder="1" applyAlignment="1">
      <alignment horizontal="center" vertical="center" wrapText="1"/>
    </xf>
    <xf numFmtId="0" fontId="8" fillId="2" borderId="4" xfId="0" applyFont="1" applyFill="1" applyBorder="1" applyAlignment="1">
      <alignment horizontal="center" vertical="center" wrapText="1"/>
    </xf>
    <xf numFmtId="0" fontId="8" fillId="3" borderId="3" xfId="0" applyFont="1" applyFill="1" applyBorder="1" applyAlignment="1">
      <alignment horizontal="center" vertical="center" wrapText="1"/>
    </xf>
    <xf numFmtId="0" fontId="8" fillId="3" borderId="4" xfId="0" applyFont="1" applyFill="1" applyBorder="1" applyAlignment="1">
      <alignment horizontal="center" vertical="center" wrapText="1"/>
    </xf>
    <xf numFmtId="0" fontId="8" fillId="5" borderId="3" xfId="0" applyFont="1" applyFill="1" applyBorder="1" applyAlignment="1">
      <alignment horizontal="center" vertical="center" wrapText="1"/>
    </xf>
    <xf numFmtId="0" fontId="8" fillId="5" borderId="4" xfId="0" applyFont="1" applyFill="1" applyBorder="1" applyAlignment="1">
      <alignment horizontal="center" vertical="center" wrapText="1"/>
    </xf>
    <xf numFmtId="0" fontId="8" fillId="4" borderId="3" xfId="0" applyFont="1" applyFill="1" applyBorder="1" applyAlignment="1">
      <alignment horizontal="center" vertical="center" wrapText="1"/>
    </xf>
    <xf numFmtId="0" fontId="8" fillId="4" borderId="4" xfId="0" applyFont="1" applyFill="1" applyBorder="1" applyAlignment="1">
      <alignment horizontal="center" vertical="center" wrapText="1"/>
    </xf>
    <xf numFmtId="0" fontId="8" fillId="6" borderId="3" xfId="0" applyFont="1" applyFill="1" applyBorder="1" applyAlignment="1">
      <alignment horizontal="center" vertical="center" wrapText="1"/>
    </xf>
    <xf numFmtId="0" fontId="8" fillId="6" borderId="4" xfId="0" applyFont="1" applyFill="1" applyBorder="1" applyAlignment="1">
      <alignment horizontal="center" vertical="center" wrapText="1"/>
    </xf>
    <xf numFmtId="0" fontId="4" fillId="5" borderId="3" xfId="0" applyFont="1" applyFill="1" applyBorder="1" applyAlignment="1">
      <alignment horizontal="center" vertical="center" wrapText="1"/>
    </xf>
    <xf numFmtId="0" fontId="4" fillId="5" borderId="4" xfId="0" applyFont="1" applyFill="1" applyBorder="1" applyAlignment="1">
      <alignment horizontal="center" vertical="center" wrapText="1"/>
    </xf>
    <xf numFmtId="0" fontId="4" fillId="2" borderId="3" xfId="0" applyFont="1" applyFill="1" applyBorder="1" applyAlignment="1">
      <alignment horizontal="center" vertical="center" wrapText="1"/>
    </xf>
    <xf numFmtId="0" fontId="4" fillId="2" borderId="4" xfId="0" applyFont="1" applyFill="1" applyBorder="1" applyAlignment="1">
      <alignment horizontal="center" vertical="center" wrapText="1"/>
    </xf>
    <xf numFmtId="0" fontId="4" fillId="4" borderId="3" xfId="0" applyFont="1" applyFill="1" applyBorder="1" applyAlignment="1">
      <alignment horizontal="center" vertical="center" wrapText="1"/>
    </xf>
    <xf numFmtId="0" fontId="4" fillId="4" borderId="4" xfId="0" applyFont="1" applyFill="1" applyBorder="1" applyAlignment="1">
      <alignment horizontal="center" vertical="center" wrapText="1"/>
    </xf>
    <xf numFmtId="0" fontId="4" fillId="6" borderId="3" xfId="0" applyFont="1" applyFill="1" applyBorder="1" applyAlignment="1">
      <alignment horizontal="center" vertical="center" wrapText="1"/>
    </xf>
    <xf numFmtId="0" fontId="4" fillId="6" borderId="4" xfId="0" applyFont="1" applyFill="1" applyBorder="1" applyAlignment="1">
      <alignment horizontal="center" vertical="center" wrapText="1"/>
    </xf>
    <xf numFmtId="0" fontId="4" fillId="3" borderId="3" xfId="0" applyFont="1" applyFill="1" applyBorder="1" applyAlignment="1">
      <alignment horizontal="center" vertical="center" wrapText="1"/>
    </xf>
    <xf numFmtId="0" fontId="4" fillId="3" borderId="4" xfId="0" applyFont="1" applyFill="1" applyBorder="1" applyAlignment="1">
      <alignment horizontal="center" vertical="center" wrapText="1"/>
    </xf>
    <xf numFmtId="0" fontId="14" fillId="0" borderId="0" xfId="0" applyFont="1" applyAlignment="1">
      <alignment horizontal="center" vertical="center"/>
    </xf>
    <xf numFmtId="0" fontId="14" fillId="0" borderId="0" xfId="0" applyFont="1" applyAlignment="1">
      <alignment wrapText="1"/>
    </xf>
    <xf numFmtId="0" fontId="14" fillId="0" borderId="0" xfId="0" applyFont="1" applyAlignment="1">
      <alignment horizontal="center" vertical="center" wrapText="1"/>
    </xf>
    <xf numFmtId="0" fontId="14" fillId="0" borderId="0" xfId="0" applyFont="1"/>
    <xf numFmtId="0" fontId="14" fillId="0" borderId="0" xfId="0" applyFont="1" applyFill="1"/>
    <xf numFmtId="0" fontId="14" fillId="0" borderId="0" xfId="0" applyFont="1" applyAlignment="1">
      <alignment horizontal="left" vertical="top" wrapText="1"/>
    </xf>
    <xf numFmtId="0" fontId="14" fillId="7" borderId="1" xfId="0" applyFont="1" applyFill="1" applyBorder="1" applyAlignment="1">
      <alignment horizontal="center" vertical="center" wrapText="1"/>
    </xf>
    <xf numFmtId="0" fontId="15" fillId="7" borderId="1" xfId="0" applyFont="1" applyFill="1" applyBorder="1" applyAlignment="1">
      <alignment horizontal="left" vertical="top" wrapText="1"/>
    </xf>
    <xf numFmtId="0" fontId="14" fillId="0" borderId="0" xfId="0" applyFont="1" applyFill="1" applyBorder="1" applyAlignment="1">
      <alignment horizontal="left" vertical="top" wrapText="1"/>
    </xf>
    <xf numFmtId="0" fontId="15" fillId="0" borderId="0" xfId="0" applyFont="1" applyFill="1" applyBorder="1" applyAlignment="1">
      <alignment horizontal="left" vertical="center" wrapText="1"/>
    </xf>
    <xf numFmtId="0" fontId="14" fillId="0" borderId="0" xfId="0" applyFont="1" applyFill="1" applyBorder="1" applyAlignment="1">
      <alignment vertical="top" wrapText="1"/>
    </xf>
    <xf numFmtId="0" fontId="14" fillId="0" borderId="0" xfId="0" applyFont="1" applyAlignment="1">
      <alignment vertical="top" wrapText="1"/>
    </xf>
    <xf numFmtId="0" fontId="19" fillId="0" borderId="0" xfId="0" applyFont="1" applyAlignment="1">
      <alignment horizontal="left" vertical="top" wrapText="1"/>
    </xf>
    <xf numFmtId="0" fontId="14" fillId="0" borderId="1" xfId="0" applyFont="1" applyBorder="1" applyAlignment="1">
      <alignment horizontal="center" vertical="center" wrapText="1"/>
    </xf>
    <xf numFmtId="0" fontId="14" fillId="0" borderId="3" xfId="0" applyFont="1" applyBorder="1" applyAlignment="1">
      <alignment horizontal="left" vertical="top" wrapText="1"/>
    </xf>
    <xf numFmtId="0" fontId="15" fillId="7" borderId="4" xfId="0" applyFont="1" applyFill="1" applyBorder="1" applyAlignment="1">
      <alignment horizontal="left" vertical="top" wrapText="1"/>
    </xf>
    <xf numFmtId="0" fontId="20" fillId="0" borderId="0" xfId="0" applyFont="1" applyAlignment="1">
      <alignment horizontal="center" vertical="center" wrapText="1"/>
    </xf>
    <xf numFmtId="0" fontId="20" fillId="7" borderId="1" xfId="0" applyFont="1" applyFill="1" applyBorder="1" applyAlignment="1">
      <alignment horizontal="center" vertical="center" wrapText="1"/>
    </xf>
    <xf numFmtId="0" fontId="21" fillId="0" borderId="0" xfId="0" applyFont="1" applyAlignment="1">
      <alignment horizontal="left" vertical="center" wrapText="1"/>
    </xf>
    <xf numFmtId="0" fontId="21" fillId="0" borderId="0" xfId="0" applyFont="1" applyFill="1" applyBorder="1" applyAlignment="1">
      <alignment horizontal="left" vertical="center" wrapText="1"/>
    </xf>
    <xf numFmtId="0" fontId="23" fillId="0" borderId="0" xfId="0" applyFont="1" applyFill="1" applyBorder="1" applyAlignment="1">
      <alignment horizontal="left" vertical="center" wrapText="1"/>
    </xf>
    <xf numFmtId="0" fontId="14" fillId="9" borderId="1" xfId="0" applyFont="1" applyFill="1" applyBorder="1" applyAlignment="1">
      <alignment horizontal="center" vertical="center" wrapText="1"/>
    </xf>
    <xf numFmtId="0" fontId="14" fillId="9" borderId="0" xfId="0" applyFont="1" applyFill="1" applyBorder="1" applyAlignment="1">
      <alignment vertical="center" wrapText="1"/>
    </xf>
    <xf numFmtId="0" fontId="14" fillId="10" borderId="1" xfId="0" applyFont="1" applyFill="1" applyBorder="1" applyAlignment="1">
      <alignment horizontal="center" vertical="center" wrapText="1"/>
    </xf>
    <xf numFmtId="0" fontId="14" fillId="10" borderId="1" xfId="0" applyFont="1" applyFill="1" applyBorder="1" applyAlignment="1">
      <alignment wrapText="1"/>
    </xf>
    <xf numFmtId="0" fontId="14" fillId="0" borderId="0" xfId="0" applyFont="1" applyFill="1" applyBorder="1" applyAlignment="1">
      <alignment horizontal="center" vertical="center" wrapText="1"/>
    </xf>
    <xf numFmtId="0" fontId="14" fillId="0" borderId="0" xfId="0" applyFont="1" applyFill="1" applyBorder="1" applyAlignment="1">
      <alignment vertical="center" wrapText="1"/>
    </xf>
    <xf numFmtId="0" fontId="14" fillId="0" borderId="0" xfId="0" applyFont="1" applyFill="1" applyBorder="1"/>
    <xf numFmtId="0" fontId="14" fillId="0" borderId="0" xfId="0" applyFont="1" applyFill="1" applyBorder="1" applyAlignment="1">
      <alignment wrapText="1"/>
    </xf>
    <xf numFmtId="0" fontId="14" fillId="0" borderId="0" xfId="0" applyFont="1" applyAlignment="1">
      <alignment horizontal="left" vertical="top"/>
    </xf>
    <xf numFmtId="0" fontId="14" fillId="9" borderId="1" xfId="0" applyFont="1" applyFill="1" applyBorder="1" applyAlignment="1">
      <alignment horizontal="left" vertical="top" wrapText="1"/>
    </xf>
    <xf numFmtId="0" fontId="14" fillId="11" borderId="1" xfId="0" applyFont="1" applyFill="1" applyBorder="1" applyAlignment="1">
      <alignment horizontal="center" vertical="center" wrapText="1"/>
    </xf>
    <xf numFmtId="0" fontId="14" fillId="11" borderId="1" xfId="0" applyFont="1" applyFill="1" applyBorder="1" applyAlignment="1">
      <alignment wrapText="1"/>
    </xf>
    <xf numFmtId="0" fontId="14" fillId="7" borderId="4" xfId="0" applyFont="1" applyFill="1" applyBorder="1" applyAlignment="1">
      <alignment horizontal="left" vertical="top" wrapText="1"/>
    </xf>
    <xf numFmtId="0" fontId="23" fillId="7" borderId="1" xfId="0" applyFont="1" applyFill="1" applyBorder="1" applyAlignment="1">
      <alignment horizontal="left" vertical="center" wrapText="1"/>
    </xf>
    <xf numFmtId="0" fontId="14" fillId="8" borderId="1" xfId="0" applyFont="1" applyFill="1" applyBorder="1" applyAlignment="1">
      <alignment horizontal="center" vertical="center" wrapText="1"/>
    </xf>
    <xf numFmtId="0" fontId="14" fillId="8" borderId="1" xfId="0" applyFont="1" applyFill="1" applyBorder="1" applyAlignment="1">
      <alignment wrapText="1"/>
    </xf>
    <xf numFmtId="0" fontId="19" fillId="0" borderId="0" xfId="0" applyFont="1" applyAlignment="1">
      <alignment horizontal="left" vertical="center" wrapText="1"/>
    </xf>
    <xf numFmtId="0" fontId="14" fillId="11" borderId="1" xfId="0" applyFont="1" applyFill="1" applyBorder="1" applyAlignment="1">
      <alignment horizontal="left" vertical="top" wrapText="1"/>
    </xf>
    <xf numFmtId="0" fontId="24" fillId="7" borderId="1" xfId="0" applyFont="1" applyFill="1" applyBorder="1" applyAlignment="1">
      <alignment horizontal="left" vertical="top" wrapText="1"/>
    </xf>
    <xf numFmtId="0" fontId="20" fillId="0" borderId="0" xfId="0" applyFont="1" applyAlignment="1">
      <alignment horizontal="left" vertical="center" wrapText="1"/>
    </xf>
    <xf numFmtId="0" fontId="14" fillId="10" borderId="1" xfId="0" applyFont="1" applyFill="1" applyBorder="1" applyAlignment="1">
      <alignment horizontal="left" vertical="top" wrapText="1"/>
    </xf>
    <xf numFmtId="0" fontId="14" fillId="11" borderId="1" xfId="0" applyFont="1" applyFill="1" applyBorder="1" applyAlignment="1">
      <alignment horizontal="left" vertical="center" wrapText="1"/>
    </xf>
    <xf numFmtId="0" fontId="25" fillId="0" borderId="0" xfId="0" applyFont="1" applyAlignment="1">
      <alignment horizontal="left" vertical="top" wrapText="1"/>
    </xf>
    <xf numFmtId="0" fontId="20" fillId="0" borderId="0" xfId="0" applyFont="1" applyAlignment="1">
      <alignment horizontal="left" vertical="top" wrapText="1"/>
    </xf>
    <xf numFmtId="0" fontId="19" fillId="0" borderId="0" xfId="0" applyFont="1" applyAlignment="1">
      <alignment horizontal="center" vertical="center" wrapText="1"/>
    </xf>
    <xf numFmtId="0" fontId="21" fillId="0" borderId="0" xfId="0" applyFont="1" applyAlignment="1">
      <alignment horizontal="left" vertical="top" wrapText="1"/>
    </xf>
    <xf numFmtId="0" fontId="14" fillId="8" borderId="1" xfId="0" applyFont="1" applyFill="1" applyBorder="1" applyAlignment="1">
      <alignment horizontal="left" vertical="center" wrapText="1"/>
    </xf>
    <xf numFmtId="0" fontId="14" fillId="0" borderId="0" xfId="0" applyFont="1" applyFill="1" applyAlignment="1">
      <alignment wrapText="1"/>
    </xf>
    <xf numFmtId="0" fontId="14" fillId="7" borderId="1" xfId="0" applyFont="1" applyFill="1" applyBorder="1" applyAlignment="1">
      <alignment horizontal="center" vertical="center"/>
    </xf>
    <xf numFmtId="0" fontId="14" fillId="9" borderId="1" xfId="0" applyFont="1" applyFill="1" applyBorder="1" applyAlignment="1">
      <alignment wrapText="1"/>
    </xf>
    <xf numFmtId="0" fontId="14" fillId="9" borderId="1" xfId="0" applyFont="1" applyFill="1" applyBorder="1" applyAlignment="1">
      <alignment horizontal="left" vertical="center" wrapText="1"/>
    </xf>
    <xf numFmtId="0" fontId="14" fillId="0" borderId="1" xfId="0" applyFont="1" applyBorder="1" applyAlignment="1">
      <alignment horizontal="center" vertical="center"/>
    </xf>
    <xf numFmtId="0" fontId="19" fillId="0" borderId="1" xfId="0" applyFont="1" applyBorder="1" applyAlignment="1">
      <alignment horizontal="left" vertical="top" wrapText="1"/>
    </xf>
    <xf numFmtId="0" fontId="14" fillId="8" borderId="1" xfId="0" applyFont="1" applyFill="1" applyBorder="1" applyAlignment="1">
      <alignment horizontal="left" vertical="top" wrapText="1"/>
    </xf>
  </cellXfs>
  <cellStyles count="3">
    <cellStyle name="Hyperlink" xfId="1" builtinId="8"/>
    <cellStyle name="Normal" xfId="0" builtinId="0"/>
    <cellStyle name="Percent" xfId="2" builtinId="5"/>
  </cellStyles>
  <dxfs count="12">
    <dxf>
      <fill>
        <patternFill>
          <bgColor theme="4" tint="0.79998168889431442"/>
        </patternFill>
      </fill>
    </dxf>
    <dxf>
      <fill>
        <patternFill>
          <bgColor theme="4" tint="0.59996337778862885"/>
        </patternFill>
      </fill>
    </dxf>
    <dxf>
      <fill>
        <patternFill>
          <bgColor theme="4" tint="0.39994506668294322"/>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theme="4" tint="0.59996337778862885"/>
        </patternFill>
      </fill>
    </dxf>
    <dxf>
      <fill>
        <patternFill>
          <bgColor theme="4" tint="0.39994506668294322"/>
        </patternFill>
      </fill>
    </dxf>
    <dxf>
      <fill>
        <patternFill>
          <bgColor rgb="FF92D050"/>
        </patternFill>
      </fill>
    </dxf>
    <dxf>
      <fill>
        <patternFill>
          <bgColor rgb="FF92D050"/>
        </patternFill>
      </fill>
    </dxf>
  </dxfs>
  <tableStyles count="0" defaultTableStyle="TableStyleMedium2" defaultPivotStyle="PivotStyleMedium4"/>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 Type="http://schemas.openxmlformats.org/officeDocument/2006/relationships/calcChain" Target="calcChain.xml"/><Relationship Id="rId12" Type="http://schemas.openxmlformats.org/officeDocument/2006/relationships/customXml" Target="../customXml/item1.xml"/><Relationship Id="rId13" Type="http://schemas.openxmlformats.org/officeDocument/2006/relationships/customXml" Target="../customXml/item2.xml"/><Relationship Id="rId14" Type="http://schemas.openxmlformats.org/officeDocument/2006/relationships/customXml" Target="../customXml/item3.xml"/><Relationship Id="rId15"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theme" Target="theme/theme1.xml"/><Relationship Id="rId9" Type="http://schemas.openxmlformats.org/officeDocument/2006/relationships/styles" Target="styles.xml"/><Relationship Id="rId10" Type="http://schemas.openxmlformats.org/officeDocument/2006/relationships/sharedStrings" Target="sharedStrings.xml"/></Relationships>
</file>

<file path=xl/diagrams/colors1.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AAFF11E7-EADE-4DF3-9F14-EA7B31403F7E}" type="doc">
      <dgm:prSet loTypeId="urn:microsoft.com/office/officeart/2009/3/layout/StepUpProcess" loCatId="process" qsTypeId="urn:microsoft.com/office/officeart/2005/8/quickstyle/simple3" qsCatId="simple" csTypeId="urn:microsoft.com/office/officeart/2005/8/colors/accent1_2" csCatId="accent1" phldr="1"/>
      <dgm:spPr/>
      <dgm:t>
        <a:bodyPr/>
        <a:lstStyle/>
        <a:p>
          <a:endParaRPr lang="en-US"/>
        </a:p>
      </dgm:t>
    </dgm:pt>
    <dgm:pt modelId="{85E6A8B2-EC16-4BF9-B0CD-6450ED1D53C7}">
      <dgm:prSet phldrT="[Text]"/>
      <dgm:spPr/>
      <dgm:t>
        <a:bodyPr/>
        <a:lstStyle/>
        <a:p>
          <a:r>
            <a:rPr lang="en-US"/>
            <a:t>Level 1</a:t>
          </a:r>
        </a:p>
        <a:p>
          <a:r>
            <a:rPr lang="en-US"/>
            <a:t>"Initial" </a:t>
          </a:r>
        </a:p>
      </dgm:t>
    </dgm:pt>
    <dgm:pt modelId="{0CFB1DCC-AC92-41B4-9A56-1BDF48D5C12D}" type="parTrans" cxnId="{168E761A-8D4D-4A44-88EB-7A4D39FA1B8F}">
      <dgm:prSet/>
      <dgm:spPr/>
      <dgm:t>
        <a:bodyPr/>
        <a:lstStyle/>
        <a:p>
          <a:endParaRPr lang="en-US"/>
        </a:p>
      </dgm:t>
    </dgm:pt>
    <dgm:pt modelId="{5245069B-8A57-4115-9474-36230D521001}" type="sibTrans" cxnId="{168E761A-8D4D-4A44-88EB-7A4D39FA1B8F}">
      <dgm:prSet/>
      <dgm:spPr/>
      <dgm:t>
        <a:bodyPr/>
        <a:lstStyle/>
        <a:p>
          <a:endParaRPr lang="en-US"/>
        </a:p>
      </dgm:t>
    </dgm:pt>
    <dgm:pt modelId="{033DDCE9-8E1D-4082-946E-31B4EB046739}">
      <dgm:prSet phldrT="[Text]"/>
      <dgm:spPr/>
      <dgm:t>
        <a:bodyPr/>
        <a:lstStyle/>
        <a:p>
          <a:r>
            <a:rPr lang="en-US"/>
            <a:t>Level 2</a:t>
          </a:r>
        </a:p>
        <a:p>
          <a:r>
            <a:rPr lang="en-US"/>
            <a:t>"Development"</a:t>
          </a:r>
        </a:p>
      </dgm:t>
    </dgm:pt>
    <dgm:pt modelId="{C235DABF-53B3-4FD6-831A-97778700AB97}" type="parTrans" cxnId="{29A2F997-F321-498A-9627-C614C5DBC0D5}">
      <dgm:prSet/>
      <dgm:spPr/>
      <dgm:t>
        <a:bodyPr/>
        <a:lstStyle/>
        <a:p>
          <a:endParaRPr lang="en-US"/>
        </a:p>
      </dgm:t>
    </dgm:pt>
    <dgm:pt modelId="{F53C835B-812B-4565-A25F-5D6800A7FA9D}" type="sibTrans" cxnId="{29A2F997-F321-498A-9627-C614C5DBC0D5}">
      <dgm:prSet/>
      <dgm:spPr/>
      <dgm:t>
        <a:bodyPr/>
        <a:lstStyle/>
        <a:p>
          <a:endParaRPr lang="en-US"/>
        </a:p>
      </dgm:t>
    </dgm:pt>
    <dgm:pt modelId="{CE88752B-8156-4F35-9035-804A9DDA0130}">
      <dgm:prSet phldrT="[Text]"/>
      <dgm:spPr/>
      <dgm:t>
        <a:bodyPr/>
        <a:lstStyle/>
        <a:p>
          <a:r>
            <a:rPr lang="en-US"/>
            <a:t>Level 3</a:t>
          </a:r>
        </a:p>
        <a:p>
          <a:r>
            <a:rPr lang="en-US"/>
            <a:t>"Defined" </a:t>
          </a:r>
        </a:p>
      </dgm:t>
    </dgm:pt>
    <dgm:pt modelId="{73C486CC-21A3-44D5-8A6D-BF011A235393}" type="parTrans" cxnId="{F9E83C73-B9C8-4906-93CF-113EF8081EF3}">
      <dgm:prSet/>
      <dgm:spPr/>
      <dgm:t>
        <a:bodyPr/>
        <a:lstStyle/>
        <a:p>
          <a:endParaRPr lang="en-US"/>
        </a:p>
      </dgm:t>
    </dgm:pt>
    <dgm:pt modelId="{3F1C5DD9-C865-4804-909C-DFAF1B5DC003}" type="sibTrans" cxnId="{F9E83C73-B9C8-4906-93CF-113EF8081EF3}">
      <dgm:prSet/>
      <dgm:spPr/>
      <dgm:t>
        <a:bodyPr/>
        <a:lstStyle/>
        <a:p>
          <a:endParaRPr lang="en-US"/>
        </a:p>
      </dgm:t>
    </dgm:pt>
    <dgm:pt modelId="{33D0A1D6-8C5D-426E-B99C-F706F8274175}">
      <dgm:prSet phldrT="[Text]"/>
      <dgm:spPr/>
      <dgm:t>
        <a:bodyPr/>
        <a:lstStyle/>
        <a:p>
          <a:r>
            <a:rPr lang="en-US"/>
            <a:t>Level 4</a:t>
          </a:r>
        </a:p>
        <a:p>
          <a:r>
            <a:rPr lang="en-US"/>
            <a:t>"Managed"</a:t>
          </a:r>
        </a:p>
      </dgm:t>
    </dgm:pt>
    <dgm:pt modelId="{C39EF0D2-863D-4BEB-A315-2AE6AE29ADEB}" type="parTrans" cxnId="{893232B2-91C3-47AD-B485-C1A5672567E8}">
      <dgm:prSet/>
      <dgm:spPr/>
      <dgm:t>
        <a:bodyPr/>
        <a:lstStyle/>
        <a:p>
          <a:endParaRPr lang="en-US"/>
        </a:p>
      </dgm:t>
    </dgm:pt>
    <dgm:pt modelId="{479DA9E9-CAAC-4C99-BEDB-E76563AD4A57}" type="sibTrans" cxnId="{893232B2-91C3-47AD-B485-C1A5672567E8}">
      <dgm:prSet/>
      <dgm:spPr/>
      <dgm:t>
        <a:bodyPr/>
        <a:lstStyle/>
        <a:p>
          <a:endParaRPr lang="en-US"/>
        </a:p>
      </dgm:t>
    </dgm:pt>
    <dgm:pt modelId="{9EDC2AD3-0F2E-4402-8C8F-37DD1E1B679F}">
      <dgm:prSet phldrT="[Text]"/>
      <dgm:spPr/>
      <dgm:t>
        <a:bodyPr/>
        <a:lstStyle/>
        <a:p>
          <a:r>
            <a:rPr lang="en-US"/>
            <a:t>Level 5</a:t>
          </a:r>
        </a:p>
        <a:p>
          <a:r>
            <a:rPr lang="en-US"/>
            <a:t>"Optimizing"</a:t>
          </a:r>
        </a:p>
      </dgm:t>
    </dgm:pt>
    <dgm:pt modelId="{5BBA2A05-0A68-42B4-90D3-B6A90530C15F}" type="parTrans" cxnId="{E81BD388-1C83-417D-9572-5BB91A18D9F9}">
      <dgm:prSet/>
      <dgm:spPr/>
      <dgm:t>
        <a:bodyPr/>
        <a:lstStyle/>
        <a:p>
          <a:endParaRPr lang="en-US"/>
        </a:p>
      </dgm:t>
    </dgm:pt>
    <dgm:pt modelId="{2835D678-D84D-4B8F-926B-0174C543BB23}" type="sibTrans" cxnId="{E81BD388-1C83-417D-9572-5BB91A18D9F9}">
      <dgm:prSet/>
      <dgm:spPr/>
      <dgm:t>
        <a:bodyPr/>
        <a:lstStyle/>
        <a:p>
          <a:endParaRPr lang="en-US"/>
        </a:p>
      </dgm:t>
    </dgm:pt>
    <dgm:pt modelId="{ED4A9A1B-D571-43B6-9CA6-7B4609A835A0}" type="pres">
      <dgm:prSet presAssocID="{AAFF11E7-EADE-4DF3-9F14-EA7B31403F7E}" presName="rootnode" presStyleCnt="0">
        <dgm:presLayoutVars>
          <dgm:chMax/>
          <dgm:chPref/>
          <dgm:dir/>
          <dgm:animLvl val="lvl"/>
        </dgm:presLayoutVars>
      </dgm:prSet>
      <dgm:spPr/>
      <dgm:t>
        <a:bodyPr/>
        <a:lstStyle/>
        <a:p>
          <a:endParaRPr lang="en-US"/>
        </a:p>
      </dgm:t>
    </dgm:pt>
    <dgm:pt modelId="{7D7FDCC5-FD28-4B57-AB4E-EEF425538FF7}" type="pres">
      <dgm:prSet presAssocID="{85E6A8B2-EC16-4BF9-B0CD-6450ED1D53C7}" presName="composite" presStyleCnt="0"/>
      <dgm:spPr/>
    </dgm:pt>
    <dgm:pt modelId="{D95E318E-0616-40D5-873B-20959881BE6D}" type="pres">
      <dgm:prSet presAssocID="{85E6A8B2-EC16-4BF9-B0CD-6450ED1D53C7}" presName="LShape" presStyleLbl="alignNode1" presStyleIdx="0" presStyleCnt="9" custLinFactNeighborX="1949" custLinFactNeighborY="13225"/>
      <dgm:spPr>
        <a:solidFill>
          <a:srgbClr val="FF0000"/>
        </a:solidFill>
      </dgm:spPr>
    </dgm:pt>
    <dgm:pt modelId="{B9C2FEA0-2433-4AC8-95AA-B9FD891C2D40}" type="pres">
      <dgm:prSet presAssocID="{85E6A8B2-EC16-4BF9-B0CD-6450ED1D53C7}" presName="ParentText" presStyleLbl="revTx" presStyleIdx="0" presStyleCnt="5" custScaleX="94560" custScaleY="91451">
        <dgm:presLayoutVars>
          <dgm:chMax val="0"/>
          <dgm:chPref val="0"/>
          <dgm:bulletEnabled val="1"/>
        </dgm:presLayoutVars>
      </dgm:prSet>
      <dgm:spPr/>
      <dgm:t>
        <a:bodyPr/>
        <a:lstStyle/>
        <a:p>
          <a:endParaRPr lang="en-US"/>
        </a:p>
      </dgm:t>
    </dgm:pt>
    <dgm:pt modelId="{ACB03CF8-CB67-4EC8-AF9D-1220C6EB398A}" type="pres">
      <dgm:prSet presAssocID="{85E6A8B2-EC16-4BF9-B0CD-6450ED1D53C7}" presName="Triangle" presStyleLbl="alignNode1" presStyleIdx="1" presStyleCnt="9" custLinFactNeighborX="11665" custLinFactNeighborY="58323"/>
      <dgm:spPr/>
    </dgm:pt>
    <dgm:pt modelId="{E2A60E25-81D7-476B-AFC6-681B50C2688B}" type="pres">
      <dgm:prSet presAssocID="{5245069B-8A57-4115-9474-36230D521001}" presName="sibTrans" presStyleCnt="0"/>
      <dgm:spPr/>
    </dgm:pt>
    <dgm:pt modelId="{B25D8E2C-3CD3-4FCE-8BD3-B4DA60A09767}" type="pres">
      <dgm:prSet presAssocID="{5245069B-8A57-4115-9474-36230D521001}" presName="space" presStyleCnt="0"/>
      <dgm:spPr/>
    </dgm:pt>
    <dgm:pt modelId="{EBEFEA40-0B6C-4586-908E-E996FF316B99}" type="pres">
      <dgm:prSet presAssocID="{033DDCE9-8E1D-4082-946E-31B4EB046739}" presName="composite" presStyleCnt="0"/>
      <dgm:spPr/>
    </dgm:pt>
    <dgm:pt modelId="{B659AEFF-F53B-4736-B5D1-98A9FE5D65FF}" type="pres">
      <dgm:prSet presAssocID="{033DDCE9-8E1D-4082-946E-31B4EB046739}" presName="LShape" presStyleLbl="alignNode1" presStyleIdx="2" presStyleCnt="9" custLinFactNeighborX="0" custLinFactNeighborY="-4960"/>
      <dgm:spPr>
        <a:solidFill>
          <a:schemeClr val="accent1">
            <a:lumMod val="20000"/>
            <a:lumOff val="80000"/>
          </a:schemeClr>
        </a:solidFill>
      </dgm:spPr>
    </dgm:pt>
    <dgm:pt modelId="{9487FB3F-451C-4714-9424-0D0FB8C65D4F}" type="pres">
      <dgm:prSet presAssocID="{033DDCE9-8E1D-4082-946E-31B4EB046739}" presName="ParentText" presStyleLbl="revTx" presStyleIdx="1" presStyleCnt="5" custScaleX="126870" custScaleY="63868" custLinFactNeighborX="14977" custLinFactNeighborY="-19238">
        <dgm:presLayoutVars>
          <dgm:chMax val="0"/>
          <dgm:chPref val="0"/>
          <dgm:bulletEnabled val="1"/>
        </dgm:presLayoutVars>
      </dgm:prSet>
      <dgm:spPr/>
      <dgm:t>
        <a:bodyPr/>
        <a:lstStyle/>
        <a:p>
          <a:endParaRPr lang="en-US"/>
        </a:p>
      </dgm:t>
    </dgm:pt>
    <dgm:pt modelId="{425A5A48-138E-48A1-9254-03A2AFEFD042}" type="pres">
      <dgm:prSet presAssocID="{033DDCE9-8E1D-4082-946E-31B4EB046739}" presName="Triangle" presStyleLbl="alignNode1" presStyleIdx="3" presStyleCnt="9"/>
      <dgm:spPr/>
    </dgm:pt>
    <dgm:pt modelId="{B750F3AF-42AA-4150-AF40-134A489650DF}" type="pres">
      <dgm:prSet presAssocID="{F53C835B-812B-4565-A25F-5D6800A7FA9D}" presName="sibTrans" presStyleCnt="0"/>
      <dgm:spPr/>
    </dgm:pt>
    <dgm:pt modelId="{3F97062F-8CBF-44FB-A137-5752E4487E2A}" type="pres">
      <dgm:prSet presAssocID="{F53C835B-812B-4565-A25F-5D6800A7FA9D}" presName="space" presStyleCnt="0"/>
      <dgm:spPr/>
    </dgm:pt>
    <dgm:pt modelId="{2F5FBED6-5E3E-49E7-83A5-D03401AA3B8B}" type="pres">
      <dgm:prSet presAssocID="{CE88752B-8156-4F35-9035-804A9DDA0130}" presName="composite" presStyleCnt="0"/>
      <dgm:spPr/>
    </dgm:pt>
    <dgm:pt modelId="{E0C9CD31-DA2E-4410-88CA-6F3D47A78202}" type="pres">
      <dgm:prSet presAssocID="{CE88752B-8156-4F35-9035-804A9DDA0130}" presName="LShape" presStyleLbl="alignNode1" presStyleIdx="4" presStyleCnt="9"/>
      <dgm:spPr>
        <a:solidFill>
          <a:schemeClr val="accent1">
            <a:lumMod val="40000"/>
            <a:lumOff val="60000"/>
          </a:schemeClr>
        </a:solidFill>
      </dgm:spPr>
      <dgm:t>
        <a:bodyPr/>
        <a:lstStyle/>
        <a:p>
          <a:endParaRPr lang="en-US"/>
        </a:p>
      </dgm:t>
    </dgm:pt>
    <dgm:pt modelId="{3ACD0313-CE32-4C40-B957-B551985CD497}" type="pres">
      <dgm:prSet presAssocID="{CE88752B-8156-4F35-9035-804A9DDA0130}" presName="ParentText" presStyleLbl="revTx" presStyleIdx="2" presStyleCnt="5">
        <dgm:presLayoutVars>
          <dgm:chMax val="0"/>
          <dgm:chPref val="0"/>
          <dgm:bulletEnabled val="1"/>
        </dgm:presLayoutVars>
      </dgm:prSet>
      <dgm:spPr/>
      <dgm:t>
        <a:bodyPr/>
        <a:lstStyle/>
        <a:p>
          <a:endParaRPr lang="en-US"/>
        </a:p>
      </dgm:t>
    </dgm:pt>
    <dgm:pt modelId="{5FC14AAE-3B9F-449F-93D2-1B332A53B856}" type="pres">
      <dgm:prSet presAssocID="{CE88752B-8156-4F35-9035-804A9DDA0130}" presName="Triangle" presStyleLbl="alignNode1" presStyleIdx="5" presStyleCnt="9"/>
      <dgm:spPr/>
    </dgm:pt>
    <dgm:pt modelId="{25DCABF8-AED6-4FC4-9282-02EBAE198687}" type="pres">
      <dgm:prSet presAssocID="{3F1C5DD9-C865-4804-909C-DFAF1B5DC003}" presName="sibTrans" presStyleCnt="0"/>
      <dgm:spPr/>
    </dgm:pt>
    <dgm:pt modelId="{D6F7E439-C629-4B8D-9ADC-DBCA3D335C75}" type="pres">
      <dgm:prSet presAssocID="{3F1C5DD9-C865-4804-909C-DFAF1B5DC003}" presName="space" presStyleCnt="0"/>
      <dgm:spPr/>
    </dgm:pt>
    <dgm:pt modelId="{ECCAB10E-B1A2-4293-A89E-DDE28A7E9F60}" type="pres">
      <dgm:prSet presAssocID="{33D0A1D6-8C5D-426E-B99C-F706F8274175}" presName="composite" presStyleCnt="0"/>
      <dgm:spPr/>
    </dgm:pt>
    <dgm:pt modelId="{C90B0574-F068-4434-8DE2-C71305477FA6}" type="pres">
      <dgm:prSet presAssocID="{33D0A1D6-8C5D-426E-B99C-F706F8274175}" presName="LShape" presStyleLbl="alignNode1" presStyleIdx="6" presStyleCnt="9"/>
      <dgm:spPr>
        <a:solidFill>
          <a:schemeClr val="accent1">
            <a:lumMod val="60000"/>
            <a:lumOff val="40000"/>
          </a:schemeClr>
        </a:solidFill>
      </dgm:spPr>
      <dgm:t>
        <a:bodyPr/>
        <a:lstStyle/>
        <a:p>
          <a:endParaRPr lang="en-US"/>
        </a:p>
      </dgm:t>
    </dgm:pt>
    <dgm:pt modelId="{40E65818-5542-4A40-9F67-FA8F6E152BBC}" type="pres">
      <dgm:prSet presAssocID="{33D0A1D6-8C5D-426E-B99C-F706F8274175}" presName="ParentText" presStyleLbl="revTx" presStyleIdx="3" presStyleCnt="5">
        <dgm:presLayoutVars>
          <dgm:chMax val="0"/>
          <dgm:chPref val="0"/>
          <dgm:bulletEnabled val="1"/>
        </dgm:presLayoutVars>
      </dgm:prSet>
      <dgm:spPr/>
      <dgm:t>
        <a:bodyPr/>
        <a:lstStyle/>
        <a:p>
          <a:endParaRPr lang="en-US"/>
        </a:p>
      </dgm:t>
    </dgm:pt>
    <dgm:pt modelId="{852C2286-F3BC-4BBD-8E3C-1547170C5A87}" type="pres">
      <dgm:prSet presAssocID="{33D0A1D6-8C5D-426E-B99C-F706F8274175}" presName="Triangle" presStyleLbl="alignNode1" presStyleIdx="7" presStyleCnt="9"/>
      <dgm:spPr/>
    </dgm:pt>
    <dgm:pt modelId="{3A80998E-47E0-4963-B93D-71C5D0F2ED8F}" type="pres">
      <dgm:prSet presAssocID="{479DA9E9-CAAC-4C99-BEDB-E76563AD4A57}" presName="sibTrans" presStyleCnt="0"/>
      <dgm:spPr/>
    </dgm:pt>
    <dgm:pt modelId="{C19363FB-36BB-447E-A23F-67A7CA79B5C2}" type="pres">
      <dgm:prSet presAssocID="{479DA9E9-CAAC-4C99-BEDB-E76563AD4A57}" presName="space" presStyleCnt="0"/>
      <dgm:spPr/>
    </dgm:pt>
    <dgm:pt modelId="{418369A0-24AB-44DC-A5DD-48958119896C}" type="pres">
      <dgm:prSet presAssocID="{9EDC2AD3-0F2E-4402-8C8F-37DD1E1B679F}" presName="composite" presStyleCnt="0"/>
      <dgm:spPr/>
    </dgm:pt>
    <dgm:pt modelId="{459ABC39-EBF8-4276-BFE0-6AEC98473E3C}" type="pres">
      <dgm:prSet presAssocID="{9EDC2AD3-0F2E-4402-8C8F-37DD1E1B679F}" presName="LShape" presStyleLbl="alignNode1" presStyleIdx="8" presStyleCnt="9"/>
      <dgm:spPr>
        <a:solidFill>
          <a:srgbClr val="92D050"/>
        </a:solidFill>
      </dgm:spPr>
    </dgm:pt>
    <dgm:pt modelId="{377B036E-8497-433B-B0AB-291AB3CA4989}" type="pres">
      <dgm:prSet presAssocID="{9EDC2AD3-0F2E-4402-8C8F-37DD1E1B679F}" presName="ParentText" presStyleLbl="revTx" presStyleIdx="4" presStyleCnt="5">
        <dgm:presLayoutVars>
          <dgm:chMax val="0"/>
          <dgm:chPref val="0"/>
          <dgm:bulletEnabled val="1"/>
        </dgm:presLayoutVars>
      </dgm:prSet>
      <dgm:spPr/>
      <dgm:t>
        <a:bodyPr/>
        <a:lstStyle/>
        <a:p>
          <a:endParaRPr lang="en-US"/>
        </a:p>
      </dgm:t>
    </dgm:pt>
  </dgm:ptLst>
  <dgm:cxnLst>
    <dgm:cxn modelId="{661882A3-DC4D-4F25-B403-F80F8E887903}" type="presOf" srcId="{85E6A8B2-EC16-4BF9-B0CD-6450ED1D53C7}" destId="{B9C2FEA0-2433-4AC8-95AA-B9FD891C2D40}" srcOrd="0" destOrd="0" presId="urn:microsoft.com/office/officeart/2009/3/layout/StepUpProcess"/>
    <dgm:cxn modelId="{F9E83C73-B9C8-4906-93CF-113EF8081EF3}" srcId="{AAFF11E7-EADE-4DF3-9F14-EA7B31403F7E}" destId="{CE88752B-8156-4F35-9035-804A9DDA0130}" srcOrd="2" destOrd="0" parTransId="{73C486CC-21A3-44D5-8A6D-BF011A235393}" sibTransId="{3F1C5DD9-C865-4804-909C-DFAF1B5DC003}"/>
    <dgm:cxn modelId="{168E761A-8D4D-4A44-88EB-7A4D39FA1B8F}" srcId="{AAFF11E7-EADE-4DF3-9F14-EA7B31403F7E}" destId="{85E6A8B2-EC16-4BF9-B0CD-6450ED1D53C7}" srcOrd="0" destOrd="0" parTransId="{0CFB1DCC-AC92-41B4-9A56-1BDF48D5C12D}" sibTransId="{5245069B-8A57-4115-9474-36230D521001}"/>
    <dgm:cxn modelId="{BC81364C-F32C-40F1-9247-B38CE8A4D95A}" type="presOf" srcId="{9EDC2AD3-0F2E-4402-8C8F-37DD1E1B679F}" destId="{377B036E-8497-433B-B0AB-291AB3CA4989}" srcOrd="0" destOrd="0" presId="urn:microsoft.com/office/officeart/2009/3/layout/StepUpProcess"/>
    <dgm:cxn modelId="{EE722218-343E-4D46-B12D-0B40D6F556DE}" type="presOf" srcId="{AAFF11E7-EADE-4DF3-9F14-EA7B31403F7E}" destId="{ED4A9A1B-D571-43B6-9CA6-7B4609A835A0}" srcOrd="0" destOrd="0" presId="urn:microsoft.com/office/officeart/2009/3/layout/StepUpProcess"/>
    <dgm:cxn modelId="{29A2F997-F321-498A-9627-C614C5DBC0D5}" srcId="{AAFF11E7-EADE-4DF3-9F14-EA7B31403F7E}" destId="{033DDCE9-8E1D-4082-946E-31B4EB046739}" srcOrd="1" destOrd="0" parTransId="{C235DABF-53B3-4FD6-831A-97778700AB97}" sibTransId="{F53C835B-812B-4565-A25F-5D6800A7FA9D}"/>
    <dgm:cxn modelId="{AE1E4359-A136-4107-9543-0A0BC8CBF933}" type="presOf" srcId="{CE88752B-8156-4F35-9035-804A9DDA0130}" destId="{3ACD0313-CE32-4C40-B957-B551985CD497}" srcOrd="0" destOrd="0" presId="urn:microsoft.com/office/officeart/2009/3/layout/StepUpProcess"/>
    <dgm:cxn modelId="{E81BD388-1C83-417D-9572-5BB91A18D9F9}" srcId="{AAFF11E7-EADE-4DF3-9F14-EA7B31403F7E}" destId="{9EDC2AD3-0F2E-4402-8C8F-37DD1E1B679F}" srcOrd="4" destOrd="0" parTransId="{5BBA2A05-0A68-42B4-90D3-B6A90530C15F}" sibTransId="{2835D678-D84D-4B8F-926B-0174C543BB23}"/>
    <dgm:cxn modelId="{6F59DA8C-1F66-4DBB-8562-EB676AABA58A}" type="presOf" srcId="{033DDCE9-8E1D-4082-946E-31B4EB046739}" destId="{9487FB3F-451C-4714-9424-0D0FB8C65D4F}" srcOrd="0" destOrd="0" presId="urn:microsoft.com/office/officeart/2009/3/layout/StepUpProcess"/>
    <dgm:cxn modelId="{694AB82F-E93C-4D40-AFC9-B1847D812AA4}" type="presOf" srcId="{33D0A1D6-8C5D-426E-B99C-F706F8274175}" destId="{40E65818-5542-4A40-9F67-FA8F6E152BBC}" srcOrd="0" destOrd="0" presId="urn:microsoft.com/office/officeart/2009/3/layout/StepUpProcess"/>
    <dgm:cxn modelId="{893232B2-91C3-47AD-B485-C1A5672567E8}" srcId="{AAFF11E7-EADE-4DF3-9F14-EA7B31403F7E}" destId="{33D0A1D6-8C5D-426E-B99C-F706F8274175}" srcOrd="3" destOrd="0" parTransId="{C39EF0D2-863D-4BEB-A315-2AE6AE29ADEB}" sibTransId="{479DA9E9-CAAC-4C99-BEDB-E76563AD4A57}"/>
    <dgm:cxn modelId="{39104379-636E-4306-B8DC-0537E7AAE39A}" type="presParOf" srcId="{ED4A9A1B-D571-43B6-9CA6-7B4609A835A0}" destId="{7D7FDCC5-FD28-4B57-AB4E-EEF425538FF7}" srcOrd="0" destOrd="0" presId="urn:microsoft.com/office/officeart/2009/3/layout/StepUpProcess"/>
    <dgm:cxn modelId="{863B9E62-84B2-470C-96A7-87CAEB51EA50}" type="presParOf" srcId="{7D7FDCC5-FD28-4B57-AB4E-EEF425538FF7}" destId="{D95E318E-0616-40D5-873B-20959881BE6D}" srcOrd="0" destOrd="0" presId="urn:microsoft.com/office/officeart/2009/3/layout/StepUpProcess"/>
    <dgm:cxn modelId="{25048EE5-1947-4879-899F-8A5B4B287F19}" type="presParOf" srcId="{7D7FDCC5-FD28-4B57-AB4E-EEF425538FF7}" destId="{B9C2FEA0-2433-4AC8-95AA-B9FD891C2D40}" srcOrd="1" destOrd="0" presId="urn:microsoft.com/office/officeart/2009/3/layout/StepUpProcess"/>
    <dgm:cxn modelId="{BC1AE433-8ED6-4ABC-A8ED-BC3390C1F55A}" type="presParOf" srcId="{7D7FDCC5-FD28-4B57-AB4E-EEF425538FF7}" destId="{ACB03CF8-CB67-4EC8-AF9D-1220C6EB398A}" srcOrd="2" destOrd="0" presId="urn:microsoft.com/office/officeart/2009/3/layout/StepUpProcess"/>
    <dgm:cxn modelId="{A611BE2E-5F92-4B68-95C1-264F55B3A416}" type="presParOf" srcId="{ED4A9A1B-D571-43B6-9CA6-7B4609A835A0}" destId="{E2A60E25-81D7-476B-AFC6-681B50C2688B}" srcOrd="1" destOrd="0" presId="urn:microsoft.com/office/officeart/2009/3/layout/StepUpProcess"/>
    <dgm:cxn modelId="{D86C6285-992C-47BD-9EC9-CFAC1E7C5AC9}" type="presParOf" srcId="{E2A60E25-81D7-476B-AFC6-681B50C2688B}" destId="{B25D8E2C-3CD3-4FCE-8BD3-B4DA60A09767}" srcOrd="0" destOrd="0" presId="urn:microsoft.com/office/officeart/2009/3/layout/StepUpProcess"/>
    <dgm:cxn modelId="{A5828498-BD9A-4988-8059-C28184438699}" type="presParOf" srcId="{ED4A9A1B-D571-43B6-9CA6-7B4609A835A0}" destId="{EBEFEA40-0B6C-4586-908E-E996FF316B99}" srcOrd="2" destOrd="0" presId="urn:microsoft.com/office/officeart/2009/3/layout/StepUpProcess"/>
    <dgm:cxn modelId="{4B2E6E11-0015-496F-A943-FEF797047E00}" type="presParOf" srcId="{EBEFEA40-0B6C-4586-908E-E996FF316B99}" destId="{B659AEFF-F53B-4736-B5D1-98A9FE5D65FF}" srcOrd="0" destOrd="0" presId="urn:microsoft.com/office/officeart/2009/3/layout/StepUpProcess"/>
    <dgm:cxn modelId="{24CC31E1-A47E-4685-B3BB-DCE49E4D9F6D}" type="presParOf" srcId="{EBEFEA40-0B6C-4586-908E-E996FF316B99}" destId="{9487FB3F-451C-4714-9424-0D0FB8C65D4F}" srcOrd="1" destOrd="0" presId="urn:microsoft.com/office/officeart/2009/3/layout/StepUpProcess"/>
    <dgm:cxn modelId="{2561E0BD-F2BC-41CE-AAE6-50DECE3294C8}" type="presParOf" srcId="{EBEFEA40-0B6C-4586-908E-E996FF316B99}" destId="{425A5A48-138E-48A1-9254-03A2AFEFD042}" srcOrd="2" destOrd="0" presId="urn:microsoft.com/office/officeart/2009/3/layout/StepUpProcess"/>
    <dgm:cxn modelId="{43A27563-38B6-408E-8414-FA5A09064C27}" type="presParOf" srcId="{ED4A9A1B-D571-43B6-9CA6-7B4609A835A0}" destId="{B750F3AF-42AA-4150-AF40-134A489650DF}" srcOrd="3" destOrd="0" presId="urn:microsoft.com/office/officeart/2009/3/layout/StepUpProcess"/>
    <dgm:cxn modelId="{8BA5DDA6-2549-4F3D-A4D3-0433506A73D4}" type="presParOf" srcId="{B750F3AF-42AA-4150-AF40-134A489650DF}" destId="{3F97062F-8CBF-44FB-A137-5752E4487E2A}" srcOrd="0" destOrd="0" presId="urn:microsoft.com/office/officeart/2009/3/layout/StepUpProcess"/>
    <dgm:cxn modelId="{37EC4912-2C91-43D1-BB3B-5450BB147A04}" type="presParOf" srcId="{ED4A9A1B-D571-43B6-9CA6-7B4609A835A0}" destId="{2F5FBED6-5E3E-49E7-83A5-D03401AA3B8B}" srcOrd="4" destOrd="0" presId="urn:microsoft.com/office/officeart/2009/3/layout/StepUpProcess"/>
    <dgm:cxn modelId="{4120EEE6-FC11-4202-A679-2D64CC0F294C}" type="presParOf" srcId="{2F5FBED6-5E3E-49E7-83A5-D03401AA3B8B}" destId="{E0C9CD31-DA2E-4410-88CA-6F3D47A78202}" srcOrd="0" destOrd="0" presId="urn:microsoft.com/office/officeart/2009/3/layout/StepUpProcess"/>
    <dgm:cxn modelId="{060F09D9-0DC4-45F8-BFD6-B587851776FC}" type="presParOf" srcId="{2F5FBED6-5E3E-49E7-83A5-D03401AA3B8B}" destId="{3ACD0313-CE32-4C40-B957-B551985CD497}" srcOrd="1" destOrd="0" presId="urn:microsoft.com/office/officeart/2009/3/layout/StepUpProcess"/>
    <dgm:cxn modelId="{360014B1-7553-417D-A79E-03217D805BC3}" type="presParOf" srcId="{2F5FBED6-5E3E-49E7-83A5-D03401AA3B8B}" destId="{5FC14AAE-3B9F-449F-93D2-1B332A53B856}" srcOrd="2" destOrd="0" presId="urn:microsoft.com/office/officeart/2009/3/layout/StepUpProcess"/>
    <dgm:cxn modelId="{27DA682E-5057-4847-BBB8-E95A0931F64A}" type="presParOf" srcId="{ED4A9A1B-D571-43B6-9CA6-7B4609A835A0}" destId="{25DCABF8-AED6-4FC4-9282-02EBAE198687}" srcOrd="5" destOrd="0" presId="urn:microsoft.com/office/officeart/2009/3/layout/StepUpProcess"/>
    <dgm:cxn modelId="{41471785-CB39-4127-801E-8A3C7D98C33D}" type="presParOf" srcId="{25DCABF8-AED6-4FC4-9282-02EBAE198687}" destId="{D6F7E439-C629-4B8D-9ADC-DBCA3D335C75}" srcOrd="0" destOrd="0" presId="urn:microsoft.com/office/officeart/2009/3/layout/StepUpProcess"/>
    <dgm:cxn modelId="{F7A15A10-DD19-4A89-9627-F4AA4B4B74A1}" type="presParOf" srcId="{ED4A9A1B-D571-43B6-9CA6-7B4609A835A0}" destId="{ECCAB10E-B1A2-4293-A89E-DDE28A7E9F60}" srcOrd="6" destOrd="0" presId="urn:microsoft.com/office/officeart/2009/3/layout/StepUpProcess"/>
    <dgm:cxn modelId="{BE794AD5-D43C-492C-B47C-E108E7FB3D45}" type="presParOf" srcId="{ECCAB10E-B1A2-4293-A89E-DDE28A7E9F60}" destId="{C90B0574-F068-4434-8DE2-C71305477FA6}" srcOrd="0" destOrd="0" presId="urn:microsoft.com/office/officeart/2009/3/layout/StepUpProcess"/>
    <dgm:cxn modelId="{61A8705B-F662-463F-B166-3BC59FFE7FA4}" type="presParOf" srcId="{ECCAB10E-B1A2-4293-A89E-DDE28A7E9F60}" destId="{40E65818-5542-4A40-9F67-FA8F6E152BBC}" srcOrd="1" destOrd="0" presId="urn:microsoft.com/office/officeart/2009/3/layout/StepUpProcess"/>
    <dgm:cxn modelId="{F2F3347E-6624-4AE6-9684-A803D79959FA}" type="presParOf" srcId="{ECCAB10E-B1A2-4293-A89E-DDE28A7E9F60}" destId="{852C2286-F3BC-4BBD-8E3C-1547170C5A87}" srcOrd="2" destOrd="0" presId="urn:microsoft.com/office/officeart/2009/3/layout/StepUpProcess"/>
    <dgm:cxn modelId="{0FECED7D-7674-412E-8AA9-2A04040D9660}" type="presParOf" srcId="{ED4A9A1B-D571-43B6-9CA6-7B4609A835A0}" destId="{3A80998E-47E0-4963-B93D-71C5D0F2ED8F}" srcOrd="7" destOrd="0" presId="urn:microsoft.com/office/officeart/2009/3/layout/StepUpProcess"/>
    <dgm:cxn modelId="{9BF36B07-0182-42BF-8AA0-956F5F2184FF}" type="presParOf" srcId="{3A80998E-47E0-4963-B93D-71C5D0F2ED8F}" destId="{C19363FB-36BB-447E-A23F-67A7CA79B5C2}" srcOrd="0" destOrd="0" presId="urn:microsoft.com/office/officeart/2009/3/layout/StepUpProcess"/>
    <dgm:cxn modelId="{4EE21586-7004-454B-B59D-1373B3B1C91D}" type="presParOf" srcId="{ED4A9A1B-D571-43B6-9CA6-7B4609A835A0}" destId="{418369A0-24AB-44DC-A5DD-48958119896C}" srcOrd="8" destOrd="0" presId="urn:microsoft.com/office/officeart/2009/3/layout/StepUpProcess"/>
    <dgm:cxn modelId="{29AB1C11-6071-42AC-BEE5-EA4D25B4B853}" type="presParOf" srcId="{418369A0-24AB-44DC-A5DD-48958119896C}" destId="{459ABC39-EBF8-4276-BFE0-6AEC98473E3C}" srcOrd="0" destOrd="0" presId="urn:microsoft.com/office/officeart/2009/3/layout/StepUpProcess"/>
    <dgm:cxn modelId="{FE5332EF-BBBD-4371-9FF6-BCACFD35A3A5}" type="presParOf" srcId="{418369A0-24AB-44DC-A5DD-48958119896C}" destId="{377B036E-8497-433B-B0AB-291AB3CA4989}" srcOrd="1" destOrd="0" presId="urn:microsoft.com/office/officeart/2009/3/layout/StepUpProcess"/>
  </dgm:cxnLst>
  <dgm:bg>
    <a:solidFill>
      <a:schemeClr val="bg1"/>
    </a:solidFill>
  </dgm:bg>
  <dgm:whole>
    <a:ln w="25400">
      <a:solidFill>
        <a:schemeClr val="tx1"/>
      </a:solidFill>
    </a:ln>
  </dgm:whole>
  <dgm:extLst>
    <a:ext uri="http://schemas.microsoft.com/office/drawing/2008/diagram">
      <dsp:dataModelExt xmlns:dsp="http://schemas.microsoft.com/office/drawing/2008/diagram" relId="rId5"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D95E318E-0616-40D5-873B-20959881BE6D}">
      <dsp:nvSpPr>
        <dsp:cNvPr id="0" name=""/>
        <dsp:cNvSpPr/>
      </dsp:nvSpPr>
      <dsp:spPr>
        <a:xfrm rot="5400000">
          <a:off x="351363" y="2363595"/>
          <a:ext cx="948776" cy="1578742"/>
        </a:xfrm>
        <a:prstGeom prst="corner">
          <a:avLst>
            <a:gd name="adj1" fmla="val 16120"/>
            <a:gd name="adj2" fmla="val 16110"/>
          </a:avLst>
        </a:prstGeom>
        <a:solidFill>
          <a:srgbClr val="FF0000"/>
        </a:solidFill>
        <a:ln w="9525" cap="flat" cmpd="sng" algn="ctr">
          <a:solidFill>
            <a:schemeClr val="accent1">
              <a:hueOff val="0"/>
              <a:satOff val="0"/>
              <a:lumOff val="0"/>
              <a:alphaOff val="0"/>
            </a:schemeClr>
          </a:solidFill>
          <a:prstDash val="solid"/>
        </a:ln>
        <a:effectLst>
          <a:outerShdw blurRad="40000" dist="20000" dir="5400000" rotWithShape="0">
            <a:srgbClr val="000000">
              <a:alpha val="38000"/>
            </a:srgbClr>
          </a:outerShdw>
        </a:effectLst>
      </dsp:spPr>
      <dsp:style>
        <a:lnRef idx="1">
          <a:scrgbClr r="0" g="0" b="0"/>
        </a:lnRef>
        <a:fillRef idx="2">
          <a:scrgbClr r="0" g="0" b="0"/>
        </a:fillRef>
        <a:effectRef idx="1">
          <a:scrgbClr r="0" g="0" b="0"/>
        </a:effectRef>
        <a:fontRef idx="minor">
          <a:schemeClr val="dk1"/>
        </a:fontRef>
      </dsp:style>
    </dsp:sp>
    <dsp:sp modelId="{B9C2FEA0-2433-4AC8-95AA-B9FD891C2D40}">
      <dsp:nvSpPr>
        <dsp:cNvPr id="0" name=""/>
        <dsp:cNvSpPr/>
      </dsp:nvSpPr>
      <dsp:spPr>
        <a:xfrm>
          <a:off x="200987" y="2763227"/>
          <a:ext cx="1347761" cy="1142549"/>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72390" tIns="72390" rIns="72390" bIns="72390" numCol="1" spcCol="1270" anchor="t" anchorCtr="0">
          <a:noAutofit/>
        </a:bodyPr>
        <a:lstStyle/>
        <a:p>
          <a:pPr lvl="0" algn="l" defTabSz="844550">
            <a:lnSpc>
              <a:spcPct val="90000"/>
            </a:lnSpc>
            <a:spcBef>
              <a:spcPct val="0"/>
            </a:spcBef>
            <a:spcAft>
              <a:spcPct val="35000"/>
            </a:spcAft>
          </a:pPr>
          <a:r>
            <a:rPr lang="en-US" sz="1900" kern="1200"/>
            <a:t>Level 1</a:t>
          </a:r>
        </a:p>
        <a:p>
          <a:pPr lvl="0" algn="l" defTabSz="844550">
            <a:lnSpc>
              <a:spcPct val="90000"/>
            </a:lnSpc>
            <a:spcBef>
              <a:spcPct val="0"/>
            </a:spcBef>
            <a:spcAft>
              <a:spcPct val="35000"/>
            </a:spcAft>
          </a:pPr>
          <a:r>
            <a:rPr lang="en-US" sz="1900" kern="1200"/>
            <a:t>"Initial" </a:t>
          </a:r>
        </a:p>
      </dsp:txBody>
      <dsp:txXfrm>
        <a:off x="200987" y="2763227"/>
        <a:ext cx="1347761" cy="1142549"/>
      </dsp:txXfrm>
    </dsp:sp>
    <dsp:sp modelId="{ACB03CF8-CB67-4EC8-AF9D-1220C6EB398A}">
      <dsp:nvSpPr>
        <dsp:cNvPr id="0" name=""/>
        <dsp:cNvSpPr/>
      </dsp:nvSpPr>
      <dsp:spPr>
        <a:xfrm>
          <a:off x="1349963" y="2278735"/>
          <a:ext cx="268924" cy="268924"/>
        </a:xfrm>
        <a:prstGeom prst="triangle">
          <a:avLst>
            <a:gd name="adj" fmla="val 100000"/>
          </a:avLst>
        </a:prstGeom>
        <a:gradFill rotWithShape="0">
          <a:gsLst>
            <a:gs pos="0">
              <a:schemeClr val="accent1">
                <a:hueOff val="0"/>
                <a:satOff val="0"/>
                <a:lumOff val="0"/>
                <a:alphaOff val="0"/>
                <a:tint val="50000"/>
                <a:satMod val="300000"/>
              </a:schemeClr>
            </a:gs>
            <a:gs pos="35000">
              <a:schemeClr val="accent1">
                <a:hueOff val="0"/>
                <a:satOff val="0"/>
                <a:lumOff val="0"/>
                <a:alphaOff val="0"/>
                <a:tint val="37000"/>
                <a:satMod val="300000"/>
              </a:schemeClr>
            </a:gs>
            <a:gs pos="100000">
              <a:schemeClr val="accent1">
                <a:hueOff val="0"/>
                <a:satOff val="0"/>
                <a:lumOff val="0"/>
                <a:alphaOff val="0"/>
                <a:tint val="15000"/>
                <a:satMod val="350000"/>
              </a:schemeClr>
            </a:gs>
          </a:gsLst>
          <a:lin ang="16200000" scaled="1"/>
        </a:gradFill>
        <a:ln w="9525" cap="flat" cmpd="sng" algn="ctr">
          <a:solidFill>
            <a:schemeClr val="accent1">
              <a:hueOff val="0"/>
              <a:satOff val="0"/>
              <a:lumOff val="0"/>
              <a:alphaOff val="0"/>
            </a:schemeClr>
          </a:solidFill>
          <a:prstDash val="solid"/>
        </a:ln>
        <a:effectLst>
          <a:outerShdw blurRad="40000" dist="20000" dir="5400000" rotWithShape="0">
            <a:srgbClr val="000000">
              <a:alpha val="38000"/>
            </a:srgbClr>
          </a:outerShdw>
        </a:effectLst>
      </dsp:spPr>
      <dsp:style>
        <a:lnRef idx="1">
          <a:scrgbClr r="0" g="0" b="0"/>
        </a:lnRef>
        <a:fillRef idx="2">
          <a:scrgbClr r="0" g="0" b="0"/>
        </a:fillRef>
        <a:effectRef idx="1">
          <a:scrgbClr r="0" g="0" b="0"/>
        </a:effectRef>
        <a:fontRef idx="minor">
          <a:schemeClr val="dk1"/>
        </a:fontRef>
      </dsp:style>
    </dsp:sp>
    <dsp:sp modelId="{B659AEFF-F53B-4736-B5D1-98A9FE5D65FF}">
      <dsp:nvSpPr>
        <dsp:cNvPr id="0" name=""/>
        <dsp:cNvSpPr/>
      </dsp:nvSpPr>
      <dsp:spPr>
        <a:xfrm rot="5400000">
          <a:off x="2100317" y="1985005"/>
          <a:ext cx="948776" cy="1578742"/>
        </a:xfrm>
        <a:prstGeom prst="corner">
          <a:avLst>
            <a:gd name="adj1" fmla="val 16120"/>
            <a:gd name="adj2" fmla="val 16110"/>
          </a:avLst>
        </a:prstGeom>
        <a:solidFill>
          <a:schemeClr val="accent1">
            <a:lumMod val="20000"/>
            <a:lumOff val="80000"/>
          </a:schemeClr>
        </a:solidFill>
        <a:ln w="9525" cap="flat" cmpd="sng" algn="ctr">
          <a:solidFill>
            <a:schemeClr val="accent1">
              <a:hueOff val="0"/>
              <a:satOff val="0"/>
              <a:lumOff val="0"/>
              <a:alphaOff val="0"/>
            </a:schemeClr>
          </a:solidFill>
          <a:prstDash val="solid"/>
        </a:ln>
        <a:effectLst>
          <a:outerShdw blurRad="40000" dist="20000" dir="5400000" rotWithShape="0">
            <a:srgbClr val="000000">
              <a:alpha val="38000"/>
            </a:srgbClr>
          </a:outerShdw>
        </a:effectLst>
      </dsp:spPr>
      <dsp:style>
        <a:lnRef idx="1">
          <a:scrgbClr r="0" g="0" b="0"/>
        </a:lnRef>
        <a:fillRef idx="2">
          <a:scrgbClr r="0" g="0" b="0"/>
        </a:fillRef>
        <a:effectRef idx="1">
          <a:scrgbClr r="0" g="0" b="0"/>
        </a:effectRef>
        <a:fontRef idx="minor">
          <a:schemeClr val="dk1"/>
        </a:fontRef>
      </dsp:style>
    </dsp:sp>
    <dsp:sp modelId="{9487FB3F-451C-4714-9424-0D0FB8C65D4F}">
      <dsp:nvSpPr>
        <dsp:cNvPr id="0" name=""/>
        <dsp:cNvSpPr/>
      </dsp:nvSpPr>
      <dsp:spPr>
        <a:xfrm>
          <a:off x="1963921" y="2489126"/>
          <a:ext cx="1808275" cy="797939"/>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72390" tIns="72390" rIns="72390" bIns="72390" numCol="1" spcCol="1270" anchor="t" anchorCtr="0">
          <a:noAutofit/>
        </a:bodyPr>
        <a:lstStyle/>
        <a:p>
          <a:pPr lvl="0" algn="l" defTabSz="844550">
            <a:lnSpc>
              <a:spcPct val="90000"/>
            </a:lnSpc>
            <a:spcBef>
              <a:spcPct val="0"/>
            </a:spcBef>
            <a:spcAft>
              <a:spcPct val="35000"/>
            </a:spcAft>
          </a:pPr>
          <a:r>
            <a:rPr lang="en-US" sz="1900" kern="1200"/>
            <a:t>Level 2</a:t>
          </a:r>
        </a:p>
        <a:p>
          <a:pPr lvl="0" algn="l" defTabSz="844550">
            <a:lnSpc>
              <a:spcPct val="90000"/>
            </a:lnSpc>
            <a:spcBef>
              <a:spcPct val="0"/>
            </a:spcBef>
            <a:spcAft>
              <a:spcPct val="35000"/>
            </a:spcAft>
          </a:pPr>
          <a:r>
            <a:rPr lang="en-US" sz="1900" kern="1200"/>
            <a:t>"Development"</a:t>
          </a:r>
        </a:p>
      </dsp:txBody>
      <dsp:txXfrm>
        <a:off x="1963921" y="2489126"/>
        <a:ext cx="1808275" cy="797939"/>
      </dsp:txXfrm>
    </dsp:sp>
    <dsp:sp modelId="{425A5A48-138E-48A1-9254-03A2AFEFD042}">
      <dsp:nvSpPr>
        <dsp:cNvPr id="0" name=""/>
        <dsp:cNvSpPr/>
      </dsp:nvSpPr>
      <dsp:spPr>
        <a:xfrm>
          <a:off x="3098316" y="1915836"/>
          <a:ext cx="268924" cy="268924"/>
        </a:xfrm>
        <a:prstGeom prst="triangle">
          <a:avLst>
            <a:gd name="adj" fmla="val 100000"/>
          </a:avLst>
        </a:prstGeom>
        <a:gradFill rotWithShape="0">
          <a:gsLst>
            <a:gs pos="0">
              <a:schemeClr val="accent1">
                <a:hueOff val="0"/>
                <a:satOff val="0"/>
                <a:lumOff val="0"/>
                <a:alphaOff val="0"/>
                <a:tint val="50000"/>
                <a:satMod val="300000"/>
              </a:schemeClr>
            </a:gs>
            <a:gs pos="35000">
              <a:schemeClr val="accent1">
                <a:hueOff val="0"/>
                <a:satOff val="0"/>
                <a:lumOff val="0"/>
                <a:alphaOff val="0"/>
                <a:tint val="37000"/>
                <a:satMod val="300000"/>
              </a:schemeClr>
            </a:gs>
            <a:gs pos="100000">
              <a:schemeClr val="accent1">
                <a:hueOff val="0"/>
                <a:satOff val="0"/>
                <a:lumOff val="0"/>
                <a:alphaOff val="0"/>
                <a:tint val="15000"/>
                <a:satMod val="350000"/>
              </a:schemeClr>
            </a:gs>
          </a:gsLst>
          <a:lin ang="16200000" scaled="1"/>
        </a:gradFill>
        <a:ln w="9525" cap="flat" cmpd="sng" algn="ctr">
          <a:solidFill>
            <a:schemeClr val="accent1">
              <a:hueOff val="0"/>
              <a:satOff val="0"/>
              <a:lumOff val="0"/>
              <a:alphaOff val="0"/>
            </a:schemeClr>
          </a:solidFill>
          <a:prstDash val="solid"/>
        </a:ln>
        <a:effectLst>
          <a:outerShdw blurRad="40000" dist="20000" dir="5400000" rotWithShape="0">
            <a:srgbClr val="000000">
              <a:alpha val="38000"/>
            </a:srgbClr>
          </a:outerShdw>
        </a:effectLst>
      </dsp:spPr>
      <dsp:style>
        <a:lnRef idx="1">
          <a:scrgbClr r="0" g="0" b="0"/>
        </a:lnRef>
        <a:fillRef idx="2">
          <a:scrgbClr r="0" g="0" b="0"/>
        </a:fillRef>
        <a:effectRef idx="1">
          <a:scrgbClr r="0" g="0" b="0"/>
        </a:effectRef>
        <a:fontRef idx="minor">
          <a:schemeClr val="dk1"/>
        </a:fontRef>
      </dsp:style>
    </dsp:sp>
    <dsp:sp modelId="{E0C9CD31-DA2E-4410-88CA-6F3D47A78202}">
      <dsp:nvSpPr>
        <dsp:cNvPr id="0" name=""/>
        <dsp:cNvSpPr/>
      </dsp:nvSpPr>
      <dsp:spPr>
        <a:xfrm rot="5400000">
          <a:off x="3810280" y="1600302"/>
          <a:ext cx="948776" cy="1578742"/>
        </a:xfrm>
        <a:prstGeom prst="corner">
          <a:avLst>
            <a:gd name="adj1" fmla="val 16120"/>
            <a:gd name="adj2" fmla="val 16110"/>
          </a:avLst>
        </a:prstGeom>
        <a:solidFill>
          <a:schemeClr val="accent1">
            <a:lumMod val="40000"/>
            <a:lumOff val="60000"/>
          </a:schemeClr>
        </a:solidFill>
        <a:ln w="9525" cap="flat" cmpd="sng" algn="ctr">
          <a:solidFill>
            <a:schemeClr val="accent1">
              <a:hueOff val="0"/>
              <a:satOff val="0"/>
              <a:lumOff val="0"/>
              <a:alphaOff val="0"/>
            </a:schemeClr>
          </a:solidFill>
          <a:prstDash val="solid"/>
        </a:ln>
        <a:effectLst>
          <a:outerShdw blurRad="40000" dist="20000" dir="5400000" rotWithShape="0">
            <a:srgbClr val="000000">
              <a:alpha val="38000"/>
            </a:srgbClr>
          </a:outerShdw>
        </a:effectLst>
      </dsp:spPr>
      <dsp:style>
        <a:lnRef idx="1">
          <a:scrgbClr r="0" g="0" b="0"/>
        </a:lnRef>
        <a:fillRef idx="2">
          <a:scrgbClr r="0" g="0" b="0"/>
        </a:fillRef>
        <a:effectRef idx="1">
          <a:scrgbClr r="0" g="0" b="0"/>
        </a:effectRef>
        <a:fontRef idx="minor">
          <a:schemeClr val="dk1"/>
        </a:fontRef>
      </dsp:style>
    </dsp:sp>
    <dsp:sp modelId="{3ACD0313-CE32-4C40-B957-B551985CD497}">
      <dsp:nvSpPr>
        <dsp:cNvPr id="0" name=""/>
        <dsp:cNvSpPr/>
      </dsp:nvSpPr>
      <dsp:spPr>
        <a:xfrm>
          <a:off x="3651905" y="2072006"/>
          <a:ext cx="1425297" cy="1249357"/>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72390" tIns="72390" rIns="72390" bIns="72390" numCol="1" spcCol="1270" anchor="t" anchorCtr="0">
          <a:noAutofit/>
        </a:bodyPr>
        <a:lstStyle/>
        <a:p>
          <a:pPr lvl="0" algn="l" defTabSz="844550">
            <a:lnSpc>
              <a:spcPct val="90000"/>
            </a:lnSpc>
            <a:spcBef>
              <a:spcPct val="0"/>
            </a:spcBef>
            <a:spcAft>
              <a:spcPct val="35000"/>
            </a:spcAft>
          </a:pPr>
          <a:r>
            <a:rPr lang="en-US" sz="1900" kern="1200"/>
            <a:t>Level 3</a:t>
          </a:r>
        </a:p>
        <a:p>
          <a:pPr lvl="0" algn="l" defTabSz="844550">
            <a:lnSpc>
              <a:spcPct val="90000"/>
            </a:lnSpc>
            <a:spcBef>
              <a:spcPct val="0"/>
            </a:spcBef>
            <a:spcAft>
              <a:spcPct val="35000"/>
            </a:spcAft>
          </a:pPr>
          <a:r>
            <a:rPr lang="en-US" sz="1900" kern="1200"/>
            <a:t>"Defined" </a:t>
          </a:r>
        </a:p>
      </dsp:txBody>
      <dsp:txXfrm>
        <a:off x="3651905" y="2072006"/>
        <a:ext cx="1425297" cy="1249357"/>
      </dsp:txXfrm>
    </dsp:sp>
    <dsp:sp modelId="{5FC14AAE-3B9F-449F-93D2-1B332A53B856}">
      <dsp:nvSpPr>
        <dsp:cNvPr id="0" name=""/>
        <dsp:cNvSpPr/>
      </dsp:nvSpPr>
      <dsp:spPr>
        <a:xfrm>
          <a:off x="4808279" y="1484073"/>
          <a:ext cx="268924" cy="268924"/>
        </a:xfrm>
        <a:prstGeom prst="triangle">
          <a:avLst>
            <a:gd name="adj" fmla="val 100000"/>
          </a:avLst>
        </a:prstGeom>
        <a:gradFill rotWithShape="0">
          <a:gsLst>
            <a:gs pos="0">
              <a:schemeClr val="accent1">
                <a:hueOff val="0"/>
                <a:satOff val="0"/>
                <a:lumOff val="0"/>
                <a:alphaOff val="0"/>
                <a:tint val="50000"/>
                <a:satMod val="300000"/>
              </a:schemeClr>
            </a:gs>
            <a:gs pos="35000">
              <a:schemeClr val="accent1">
                <a:hueOff val="0"/>
                <a:satOff val="0"/>
                <a:lumOff val="0"/>
                <a:alphaOff val="0"/>
                <a:tint val="37000"/>
                <a:satMod val="300000"/>
              </a:schemeClr>
            </a:gs>
            <a:gs pos="100000">
              <a:schemeClr val="accent1">
                <a:hueOff val="0"/>
                <a:satOff val="0"/>
                <a:lumOff val="0"/>
                <a:alphaOff val="0"/>
                <a:tint val="15000"/>
                <a:satMod val="350000"/>
              </a:schemeClr>
            </a:gs>
          </a:gsLst>
          <a:lin ang="16200000" scaled="1"/>
        </a:gradFill>
        <a:ln w="9525" cap="flat" cmpd="sng" algn="ctr">
          <a:solidFill>
            <a:schemeClr val="accent1">
              <a:hueOff val="0"/>
              <a:satOff val="0"/>
              <a:lumOff val="0"/>
              <a:alphaOff val="0"/>
            </a:schemeClr>
          </a:solidFill>
          <a:prstDash val="solid"/>
        </a:ln>
        <a:effectLst>
          <a:outerShdw blurRad="40000" dist="20000" dir="5400000" rotWithShape="0">
            <a:srgbClr val="000000">
              <a:alpha val="38000"/>
            </a:srgbClr>
          </a:outerShdw>
        </a:effectLst>
      </dsp:spPr>
      <dsp:style>
        <a:lnRef idx="1">
          <a:scrgbClr r="0" g="0" b="0"/>
        </a:lnRef>
        <a:fillRef idx="2">
          <a:scrgbClr r="0" g="0" b="0"/>
        </a:fillRef>
        <a:effectRef idx="1">
          <a:scrgbClr r="0" g="0" b="0"/>
        </a:effectRef>
        <a:fontRef idx="minor">
          <a:schemeClr val="dk1"/>
        </a:fontRef>
      </dsp:style>
    </dsp:sp>
    <dsp:sp modelId="{C90B0574-F068-4434-8DE2-C71305477FA6}">
      <dsp:nvSpPr>
        <dsp:cNvPr id="0" name=""/>
        <dsp:cNvSpPr/>
      </dsp:nvSpPr>
      <dsp:spPr>
        <a:xfrm rot="5400000">
          <a:off x="5555123" y="1168539"/>
          <a:ext cx="948776" cy="1578742"/>
        </a:xfrm>
        <a:prstGeom prst="corner">
          <a:avLst>
            <a:gd name="adj1" fmla="val 16120"/>
            <a:gd name="adj2" fmla="val 16110"/>
          </a:avLst>
        </a:prstGeom>
        <a:solidFill>
          <a:schemeClr val="accent1">
            <a:lumMod val="60000"/>
            <a:lumOff val="40000"/>
          </a:schemeClr>
        </a:solidFill>
        <a:ln w="9525" cap="flat" cmpd="sng" algn="ctr">
          <a:solidFill>
            <a:schemeClr val="accent1">
              <a:hueOff val="0"/>
              <a:satOff val="0"/>
              <a:lumOff val="0"/>
              <a:alphaOff val="0"/>
            </a:schemeClr>
          </a:solidFill>
          <a:prstDash val="solid"/>
        </a:ln>
        <a:effectLst>
          <a:outerShdw blurRad="40000" dist="20000" dir="5400000" rotWithShape="0">
            <a:srgbClr val="000000">
              <a:alpha val="38000"/>
            </a:srgbClr>
          </a:outerShdw>
        </a:effectLst>
      </dsp:spPr>
      <dsp:style>
        <a:lnRef idx="1">
          <a:scrgbClr r="0" g="0" b="0"/>
        </a:lnRef>
        <a:fillRef idx="2">
          <a:scrgbClr r="0" g="0" b="0"/>
        </a:fillRef>
        <a:effectRef idx="1">
          <a:scrgbClr r="0" g="0" b="0"/>
        </a:effectRef>
        <a:fontRef idx="minor">
          <a:schemeClr val="dk1"/>
        </a:fontRef>
      </dsp:style>
    </dsp:sp>
    <dsp:sp modelId="{40E65818-5542-4A40-9F67-FA8F6E152BBC}">
      <dsp:nvSpPr>
        <dsp:cNvPr id="0" name=""/>
        <dsp:cNvSpPr/>
      </dsp:nvSpPr>
      <dsp:spPr>
        <a:xfrm>
          <a:off x="5396748" y="1640243"/>
          <a:ext cx="1425297" cy="1249357"/>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72390" tIns="72390" rIns="72390" bIns="72390" numCol="1" spcCol="1270" anchor="t" anchorCtr="0">
          <a:noAutofit/>
        </a:bodyPr>
        <a:lstStyle/>
        <a:p>
          <a:pPr lvl="0" algn="l" defTabSz="844550">
            <a:lnSpc>
              <a:spcPct val="90000"/>
            </a:lnSpc>
            <a:spcBef>
              <a:spcPct val="0"/>
            </a:spcBef>
            <a:spcAft>
              <a:spcPct val="35000"/>
            </a:spcAft>
          </a:pPr>
          <a:r>
            <a:rPr lang="en-US" sz="1900" kern="1200"/>
            <a:t>Level 4</a:t>
          </a:r>
        </a:p>
        <a:p>
          <a:pPr lvl="0" algn="l" defTabSz="844550">
            <a:lnSpc>
              <a:spcPct val="90000"/>
            </a:lnSpc>
            <a:spcBef>
              <a:spcPct val="0"/>
            </a:spcBef>
            <a:spcAft>
              <a:spcPct val="35000"/>
            </a:spcAft>
          </a:pPr>
          <a:r>
            <a:rPr lang="en-US" sz="1900" kern="1200"/>
            <a:t>"Managed"</a:t>
          </a:r>
        </a:p>
      </dsp:txBody>
      <dsp:txXfrm>
        <a:off x="5396748" y="1640243"/>
        <a:ext cx="1425297" cy="1249357"/>
      </dsp:txXfrm>
    </dsp:sp>
    <dsp:sp modelId="{852C2286-F3BC-4BBD-8E3C-1547170C5A87}">
      <dsp:nvSpPr>
        <dsp:cNvPr id="0" name=""/>
        <dsp:cNvSpPr/>
      </dsp:nvSpPr>
      <dsp:spPr>
        <a:xfrm>
          <a:off x="6553122" y="1052310"/>
          <a:ext cx="268924" cy="268924"/>
        </a:xfrm>
        <a:prstGeom prst="triangle">
          <a:avLst>
            <a:gd name="adj" fmla="val 100000"/>
          </a:avLst>
        </a:prstGeom>
        <a:gradFill rotWithShape="0">
          <a:gsLst>
            <a:gs pos="0">
              <a:schemeClr val="accent1">
                <a:hueOff val="0"/>
                <a:satOff val="0"/>
                <a:lumOff val="0"/>
                <a:alphaOff val="0"/>
                <a:tint val="50000"/>
                <a:satMod val="300000"/>
              </a:schemeClr>
            </a:gs>
            <a:gs pos="35000">
              <a:schemeClr val="accent1">
                <a:hueOff val="0"/>
                <a:satOff val="0"/>
                <a:lumOff val="0"/>
                <a:alphaOff val="0"/>
                <a:tint val="37000"/>
                <a:satMod val="300000"/>
              </a:schemeClr>
            </a:gs>
            <a:gs pos="100000">
              <a:schemeClr val="accent1">
                <a:hueOff val="0"/>
                <a:satOff val="0"/>
                <a:lumOff val="0"/>
                <a:alphaOff val="0"/>
                <a:tint val="15000"/>
                <a:satMod val="350000"/>
              </a:schemeClr>
            </a:gs>
          </a:gsLst>
          <a:lin ang="16200000" scaled="1"/>
        </a:gradFill>
        <a:ln w="9525" cap="flat" cmpd="sng" algn="ctr">
          <a:solidFill>
            <a:schemeClr val="accent1">
              <a:hueOff val="0"/>
              <a:satOff val="0"/>
              <a:lumOff val="0"/>
              <a:alphaOff val="0"/>
            </a:schemeClr>
          </a:solidFill>
          <a:prstDash val="solid"/>
        </a:ln>
        <a:effectLst>
          <a:outerShdw blurRad="40000" dist="20000" dir="5400000" rotWithShape="0">
            <a:srgbClr val="000000">
              <a:alpha val="38000"/>
            </a:srgbClr>
          </a:outerShdw>
        </a:effectLst>
      </dsp:spPr>
      <dsp:style>
        <a:lnRef idx="1">
          <a:scrgbClr r="0" g="0" b="0"/>
        </a:lnRef>
        <a:fillRef idx="2">
          <a:scrgbClr r="0" g="0" b="0"/>
        </a:fillRef>
        <a:effectRef idx="1">
          <a:scrgbClr r="0" g="0" b="0"/>
        </a:effectRef>
        <a:fontRef idx="minor">
          <a:schemeClr val="dk1"/>
        </a:fontRef>
      </dsp:style>
    </dsp:sp>
    <dsp:sp modelId="{459ABC39-EBF8-4276-BFE0-6AEC98473E3C}">
      <dsp:nvSpPr>
        <dsp:cNvPr id="0" name=""/>
        <dsp:cNvSpPr/>
      </dsp:nvSpPr>
      <dsp:spPr>
        <a:xfrm rot="5400000">
          <a:off x="7299966" y="736775"/>
          <a:ext cx="948776" cy="1578742"/>
        </a:xfrm>
        <a:prstGeom prst="corner">
          <a:avLst>
            <a:gd name="adj1" fmla="val 16120"/>
            <a:gd name="adj2" fmla="val 16110"/>
          </a:avLst>
        </a:prstGeom>
        <a:solidFill>
          <a:srgbClr val="92D050"/>
        </a:solidFill>
        <a:ln w="9525" cap="flat" cmpd="sng" algn="ctr">
          <a:solidFill>
            <a:schemeClr val="accent1">
              <a:hueOff val="0"/>
              <a:satOff val="0"/>
              <a:lumOff val="0"/>
              <a:alphaOff val="0"/>
            </a:schemeClr>
          </a:solidFill>
          <a:prstDash val="solid"/>
        </a:ln>
        <a:effectLst>
          <a:outerShdw blurRad="40000" dist="20000" dir="5400000" rotWithShape="0">
            <a:srgbClr val="000000">
              <a:alpha val="38000"/>
            </a:srgbClr>
          </a:outerShdw>
        </a:effectLst>
      </dsp:spPr>
      <dsp:style>
        <a:lnRef idx="1">
          <a:scrgbClr r="0" g="0" b="0"/>
        </a:lnRef>
        <a:fillRef idx="2">
          <a:scrgbClr r="0" g="0" b="0"/>
        </a:fillRef>
        <a:effectRef idx="1">
          <a:scrgbClr r="0" g="0" b="0"/>
        </a:effectRef>
        <a:fontRef idx="minor">
          <a:schemeClr val="dk1"/>
        </a:fontRef>
      </dsp:style>
    </dsp:sp>
    <dsp:sp modelId="{377B036E-8497-433B-B0AB-291AB3CA4989}">
      <dsp:nvSpPr>
        <dsp:cNvPr id="0" name=""/>
        <dsp:cNvSpPr/>
      </dsp:nvSpPr>
      <dsp:spPr>
        <a:xfrm>
          <a:off x="7141592" y="1208479"/>
          <a:ext cx="1425297" cy="1249357"/>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72390" tIns="72390" rIns="72390" bIns="72390" numCol="1" spcCol="1270" anchor="t" anchorCtr="0">
          <a:noAutofit/>
        </a:bodyPr>
        <a:lstStyle/>
        <a:p>
          <a:pPr lvl="0" algn="l" defTabSz="844550">
            <a:lnSpc>
              <a:spcPct val="90000"/>
            </a:lnSpc>
            <a:spcBef>
              <a:spcPct val="0"/>
            </a:spcBef>
            <a:spcAft>
              <a:spcPct val="35000"/>
            </a:spcAft>
          </a:pPr>
          <a:r>
            <a:rPr lang="en-US" sz="1900" kern="1200"/>
            <a:t>Level 5</a:t>
          </a:r>
        </a:p>
        <a:p>
          <a:pPr lvl="0" algn="l" defTabSz="844550">
            <a:lnSpc>
              <a:spcPct val="90000"/>
            </a:lnSpc>
            <a:spcBef>
              <a:spcPct val="0"/>
            </a:spcBef>
            <a:spcAft>
              <a:spcPct val="35000"/>
            </a:spcAft>
          </a:pPr>
          <a:r>
            <a:rPr lang="en-US" sz="1900" kern="1200"/>
            <a:t>"Optimizing"</a:t>
          </a:r>
        </a:p>
      </dsp:txBody>
      <dsp:txXfrm>
        <a:off x="7141592" y="1208479"/>
        <a:ext cx="1425297" cy="1249357"/>
      </dsp:txXfrm>
    </dsp:sp>
  </dsp:spTree>
</dsp:drawing>
</file>

<file path=xl/diagrams/layout1.xml><?xml version="1.0" encoding="utf-8"?>
<dgm:layoutDef xmlns:dgm="http://schemas.openxmlformats.org/drawingml/2006/diagram" xmlns:a="http://schemas.openxmlformats.org/drawingml/2006/main" uniqueId="urn:microsoft.com/office/officeart/2009/3/layout/StepUpProcess">
  <dgm:title val=""/>
  <dgm:desc val=""/>
  <dgm:catLst>
    <dgm:cat type="process" pri="1300"/>
  </dgm:catLst>
  <dgm:sampData>
    <dgm:dataModel>
      <dgm:ptLst>
        <dgm:pt modelId="0" type="doc"/>
        <dgm:pt modelId="10">
          <dgm:prSet phldr="1"/>
        </dgm:pt>
        <dgm:pt modelId="20">
          <dgm:prSet phldr="1"/>
        </dgm:pt>
        <dgm:pt modelId="30">
          <dgm:prSet phldr="1"/>
        </dgm:pt>
      </dgm:ptLst>
      <dgm:cxnLst>
        <dgm:cxn modelId="60" srcId="0" destId="10" srcOrd="0" destOrd="0"/>
        <dgm:cxn modelId="70" srcId="0" destId="20" srcOrd="1" destOrd="0"/>
        <dgm:cxn modelId="80" srcId="0" destId="30" srcOrd="2" destOrd="0"/>
      </dgm:cxnLst>
      <dgm:bg/>
      <dgm:whole/>
    </dgm:dataModel>
  </dgm:sampData>
  <dgm:styleData>
    <dgm:dataModel>
      <dgm:ptLst>
        <dgm:pt modelId="0" type="doc"/>
        <dgm:pt modelId="10">
          <dgm:prSet phldr="1"/>
        </dgm:pt>
        <dgm:pt modelId="20">
          <dgm:prSet phldr="1"/>
        </dgm:pt>
      </dgm:ptLst>
      <dgm:cxnLst>
        <dgm:cxn modelId="60" srcId="0" destId="10" srcOrd="0" destOrd="0"/>
        <dgm:cxn modelId="70" srcId="0" destId="20" srcOrd="1" destOrd="0"/>
      </dgm:cxnLst>
      <dgm:bg/>
      <dgm:whole/>
    </dgm:dataModel>
  </dgm:styleData>
  <dgm:clrData>
    <dgm:dataModel>
      <dgm:ptLst>
        <dgm:pt modelId="0" type="doc"/>
        <dgm:pt modelId="10">
          <dgm:prSet phldr="1"/>
        </dgm:pt>
        <dgm:pt modelId="20">
          <dgm:prSet phldr="1"/>
        </dgm:pt>
        <dgm:pt modelId="30">
          <dgm:prSet phldr="1"/>
        </dgm:pt>
        <dgm:pt modelId="40">
          <dgm:prSet phldr="1"/>
        </dgm:pt>
      </dgm:ptLst>
      <dgm:cxnLst>
        <dgm:cxn modelId="60" srcId="0" destId="10" srcOrd="0" destOrd="0"/>
        <dgm:cxn modelId="70" srcId="0" destId="20" srcOrd="1" destOrd="0"/>
        <dgm:cxn modelId="80" srcId="0" destId="30" srcOrd="2" destOrd="0"/>
        <dgm:cxn modelId="90" srcId="0" destId="40" srcOrd="3" destOrd="0"/>
      </dgm:cxnLst>
      <dgm:bg/>
      <dgm:whole/>
    </dgm:dataModel>
  </dgm:clrData>
  <dgm:layoutNode name="rootnode">
    <dgm:varLst>
      <dgm:chMax/>
      <dgm:chPref/>
      <dgm:dir/>
      <dgm:animLvl val="lvl"/>
    </dgm:varLst>
    <dgm:choose name="Name0">
      <dgm:if name="Name1" func="var" arg="dir" op="equ" val="norm">
        <dgm:alg type="snake">
          <dgm:param type="grDir" val="bL"/>
          <dgm:param type="flowDir" val="row"/>
          <dgm:param type="off" val="off"/>
          <dgm:param type="bkpt" val="fixed"/>
          <dgm:param type="bkPtFixedVal" val="1"/>
        </dgm:alg>
      </dgm:if>
      <dgm:else name="Name2">
        <dgm:alg type="snake">
          <dgm:param type="grDir" val="bR"/>
          <dgm:param type="flowDir" val="row"/>
          <dgm:param type="off" val="off"/>
          <dgm:param type="bkpt" val="fixed"/>
          <dgm:param type="bkPtFixedVal" val="1"/>
        </dgm:alg>
      </dgm:else>
    </dgm:choose>
    <dgm:shape xmlns:r="http://schemas.openxmlformats.org/officeDocument/2006/relationships" r:blip="">
      <dgm:adjLst/>
    </dgm:shape>
    <dgm:constrLst>
      <dgm:constr type="alignOff" forName="rootnode" val="1"/>
      <dgm:constr type="primFontSz" for="des" ptType="node" op="equ" val="65"/>
      <dgm:constr type="w" for="ch" forName="composite" refType="w"/>
      <dgm:constr type="h" for="ch" forName="composite" refType="h"/>
      <dgm:constr type="sp" refType="h" refFor="ch" refForName="composite" op="equ" fact="-0.765"/>
      <dgm:constr type="w" for="ch" forName="sibTrans" refType="w" fact="0.103"/>
      <dgm:constr type="h" for="ch" forName="sibTrans" refType="h" fact="0.103"/>
    </dgm:constrLst>
    <dgm:forEach name="nodesForEach" axis="ch" ptType="node">
      <dgm:layoutNode name="composite">
        <dgm:alg type="composite">
          <dgm:param type="ar" val="0.861"/>
        </dgm:alg>
        <dgm:shape xmlns:r="http://schemas.openxmlformats.org/officeDocument/2006/relationships" r:blip="">
          <dgm:adjLst/>
        </dgm:shape>
        <dgm:choose name="Name3">
          <dgm:if name="Name4" func="var" arg="dir" op="equ" val="norm">
            <dgm:constrLst>
              <dgm:constr type="l" for="ch" forName="LShape" refType="w" fact="0"/>
              <dgm:constr type="t" for="ch" forName="LShape" refType="h" fact="0.2347"/>
              <dgm:constr type="w" for="ch" forName="LShape" refType="w" fact="0.998"/>
              <dgm:constr type="h" for="ch" forName="LShape" refType="h" fact="0.5164"/>
              <dgm:constr type="r" for="ch" forName="ParentText" refType="w"/>
              <dgm:constr type="t" for="ch" forName="ParentText" refType="h" fact="0.32"/>
              <dgm:constr type="w" for="ch" forName="ParentText" refType="w" fact="0.901"/>
              <dgm:constr type="h" for="ch" forName="ParentText" refType="h" fact="0.68"/>
              <dgm:constr type="l" for="ch" forName="Triangle" refType="w" fact="0.83"/>
              <dgm:constr type="t" for="ch" forName="Triangle" refType="h" fact="0"/>
              <dgm:constr type="w" for="ch" forName="Triangle" refType="w" fact="0.17"/>
              <dgm:constr type="h" for="ch" forName="Triangle" refType="w" refFor="ch" refForName="Triangle"/>
            </dgm:constrLst>
          </dgm:if>
          <dgm:else name="Name5">
            <dgm:constrLst>
              <dgm:constr type="l" for="ch" forName="LShape" refType="w" fact="0.002"/>
              <dgm:constr type="t" for="ch" forName="LShape" refType="h" fact="0.2347"/>
              <dgm:constr type="w" for="ch" forName="LShape" refType="w"/>
              <dgm:constr type="h" for="ch" forName="LShape" refType="h" fact="0.5164"/>
              <dgm:constr type="l" for="ch" forName="ParentText" refType="w" fact="0"/>
              <dgm:constr type="t" for="ch" forName="ParentText" refType="h" fact="0.32"/>
              <dgm:constr type="w" for="ch" forName="ParentText" refType="w" fact="0.902"/>
              <dgm:constr type="h" for="ch" forName="ParentText" refType="h" fact="0.68"/>
              <dgm:constr type="l" for="ch" forName="Triangle" refType="w" fact="0"/>
              <dgm:constr type="t" for="ch" forName="Triangle" refType="h" fact="0"/>
              <dgm:constr type="w" for="ch" forName="Triangle" refType="w" fact="0.17"/>
              <dgm:constr type="h" for="ch" forName="Triangle" refType="w" refFor="ch" refForName="Triangle"/>
            </dgm:constrLst>
          </dgm:else>
        </dgm:choose>
        <dgm:layoutNode name="LShape" styleLbl="alignNode1">
          <dgm:alg type="sp"/>
          <dgm:choose name="Name6">
            <dgm:if name="Name7" func="var" arg="dir" op="equ" val="norm">
              <dgm:shape xmlns:r="http://schemas.openxmlformats.org/officeDocument/2006/relationships" rot="90" type="corner" r:blip="">
                <dgm:adjLst>
                  <dgm:adj idx="1" val="0.1612"/>
                  <dgm:adj idx="2" val="0.1611"/>
                </dgm:adjLst>
              </dgm:shape>
            </dgm:if>
            <dgm:else name="Name8">
              <dgm:shape xmlns:r="http://schemas.openxmlformats.org/officeDocument/2006/relationships" rot="180" type="corner" r:blip="">
                <dgm:adjLst>
                  <dgm:adj idx="1" val="0.1612"/>
                  <dgm:adj idx="2" val="0.1611"/>
                </dgm:adjLst>
              </dgm:shape>
            </dgm:else>
          </dgm:choose>
          <dgm:presOf/>
        </dgm:layoutNode>
        <dgm:layoutNode name="ParentText" styleLbl="revTx">
          <dgm:varLst>
            <dgm:chMax val="0"/>
            <dgm:chPref val="0"/>
            <dgm:bulletEnabled val="1"/>
          </dgm:varLst>
          <dgm:alg type="tx">
            <dgm:param type="parTxLTRAlign" val="l"/>
            <dgm:param type="txAnchorVert" val="t"/>
          </dgm:alg>
          <dgm:shape xmlns:r="http://schemas.openxmlformats.org/officeDocument/2006/relationships" type="rect" r:blip="">
            <dgm:adjLst/>
          </dgm:shape>
          <dgm:presOf axis="desOrSelf" ptType="node"/>
          <dgm:constrLst>
            <dgm:constr type="lMarg" refType="primFontSz" fact="0.3"/>
            <dgm:constr type="rMarg" refType="primFontSz" fact="0.3"/>
            <dgm:constr type="tMarg" refType="primFontSz" fact="0.3"/>
            <dgm:constr type="bMarg" refType="primFontSz" fact="0.3"/>
          </dgm:constrLst>
          <dgm:ruleLst>
            <dgm:rule type="primFontSz" val="5" fact="NaN" max="NaN"/>
          </dgm:ruleLst>
        </dgm:layoutNode>
        <dgm:choose name="Name9">
          <dgm:if name="Name10" axis="followSib" ptType="node" func="cnt" op="gte" val="1">
            <dgm:layoutNode name="Triangle" styleLbl="alignNode1">
              <dgm:alg type="sp"/>
              <dgm:choose name="Name11">
                <dgm:if name="Name12" func="var" arg="dir" op="equ" val="norm">
                  <dgm:shape xmlns:r="http://schemas.openxmlformats.org/officeDocument/2006/relationships" type="triangle" r:blip="">
                    <dgm:adjLst>
                      <dgm:adj idx="1" val="1"/>
                    </dgm:adjLst>
                  </dgm:shape>
                </dgm:if>
                <dgm:else name="Name13">
                  <dgm:shape xmlns:r="http://schemas.openxmlformats.org/officeDocument/2006/relationships" rot="90" type="triangle" r:blip="">
                    <dgm:adjLst>
                      <dgm:adj idx="1" val="1"/>
                    </dgm:adjLst>
                  </dgm:shape>
                </dgm:else>
              </dgm:choose>
              <dgm:presOf/>
            </dgm:layoutNode>
          </dgm:if>
          <dgm:else name="Name14"/>
        </dgm:choose>
      </dgm:layoutNode>
      <dgm:forEach name="sibTransForEach" axis="followSib" ptType="sibTrans" cnt="1">
        <dgm:layoutNode name="sibTrans">
          <dgm:alg type="composite">
            <dgm:param type="ar" val="0.861"/>
          </dgm:alg>
          <dgm:constrLst>
            <dgm:constr type="w" for="ch" forName="space" refType="w"/>
            <dgm:constr type="h" for="ch" forName="space" refType="w"/>
          </dgm:constrLst>
          <dgm:layoutNode name="space" styleLbl="alignNode1">
            <dgm:alg type="sp"/>
            <dgm:shape xmlns:r="http://schemas.openxmlformats.org/officeDocument/2006/relationships" r:blip="">
              <dgm:adjLst/>
            </dgm:shape>
            <dgm:presOf/>
          </dgm:layoutNode>
        </dgm:layoutNode>
      </dgm:forEach>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3">
  <dgm:title val=""/>
  <dgm:desc val=""/>
  <dgm:catLst>
    <dgm:cat type="simple" pri="10300"/>
  </dgm:catLst>
  <dgm:scene3d>
    <a:camera prst="orthographicFront"/>
    <a:lightRig rig="threePt" dir="t"/>
  </dgm:scene3d>
  <dgm:styleLbl name="node0">
    <dgm:scene3d>
      <a:camera prst="orthographicFront"/>
      <a:lightRig rig="flat" dir="t"/>
    </dgm:scene3d>
    <dgm:sp3d prstMaterial="dkEdge">
      <a:bevelT w="8200" h="38100"/>
    </dgm:sp3d>
    <dgm:txPr/>
    <dgm:style>
      <a:lnRef idx="0">
        <a:scrgbClr r="0" g="0" b="0"/>
      </a:lnRef>
      <a:fillRef idx="2">
        <a:scrgbClr r="0" g="0" b="0"/>
      </a:fillRef>
      <a:effectRef idx="1">
        <a:scrgbClr r="0" g="0" b="0"/>
      </a:effectRef>
      <a:fontRef idx="minor">
        <a:schemeClr val="dk1"/>
      </a:fontRef>
    </dgm:style>
  </dgm:styleLbl>
  <dgm:styleLbl name="lnNode1">
    <dgm:scene3d>
      <a:camera prst="orthographicFront"/>
      <a:lightRig rig="flat" dir="t"/>
    </dgm:scene3d>
    <dgm:sp3d prstMaterial="dkEdge">
      <a:bevelT w="8200" h="38100"/>
    </dgm:sp3d>
    <dgm:txPr/>
    <dgm:style>
      <a:lnRef idx="1">
        <a:scrgbClr r="0" g="0" b="0"/>
      </a:lnRef>
      <a:fillRef idx="2">
        <a:scrgbClr r="0" g="0" b="0"/>
      </a:fillRef>
      <a:effectRef idx="0">
        <a:scrgbClr r="0" g="0" b="0"/>
      </a:effectRef>
      <a:fontRef idx="minor">
        <a:schemeClr val="dk1"/>
      </a:fontRef>
    </dgm:style>
  </dgm:styleLbl>
  <dgm:styleLbl name="vennNode1">
    <dgm:scene3d>
      <a:camera prst="orthographicFront"/>
      <a:lightRig rig="flat" dir="t"/>
    </dgm:scene3d>
    <dgm:sp3d prstMaterial="dkEdge">
      <a:bevelT w="8200" h="38100"/>
    </dgm:sp3d>
    <dgm:txPr/>
    <dgm:style>
      <a:lnRef idx="0">
        <a:scrgbClr r="0" g="0" b="0"/>
      </a:lnRef>
      <a:fillRef idx="2">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1">
        <a:scrgbClr r="0" g="0" b="0"/>
      </a:lnRef>
      <a:fillRef idx="2">
        <a:scrgbClr r="0" g="0" b="0"/>
      </a:fillRef>
      <a:effectRef idx="1">
        <a:scrgbClr r="0" g="0" b="0"/>
      </a:effectRef>
      <a:fontRef idx="minor">
        <a:schemeClr val="dk1"/>
      </a:fontRef>
    </dgm:style>
  </dgm:styleLbl>
  <dgm:styleLbl name="node1">
    <dgm:scene3d>
      <a:camera prst="orthographicFront"/>
      <a:lightRig rig="flat" dir="t"/>
    </dgm:scene3d>
    <dgm:sp3d prstMaterial="dkEdge">
      <a:bevelT w="8200" h="38100"/>
    </dgm:sp3d>
    <dgm:txPr/>
    <dgm:style>
      <a:lnRef idx="0">
        <a:scrgbClr r="0" g="0" b="0"/>
      </a:lnRef>
      <a:fillRef idx="2">
        <a:scrgbClr r="0" g="0" b="0"/>
      </a:fillRef>
      <a:effectRef idx="1">
        <a:scrgbClr r="0" g="0" b="0"/>
      </a:effectRef>
      <a:fontRef idx="minor">
        <a:schemeClr val="dk1"/>
      </a:fontRef>
    </dgm:style>
  </dgm:styleLbl>
  <dgm:styleLbl name="node2">
    <dgm:scene3d>
      <a:camera prst="orthographicFront"/>
      <a:lightRig rig="flat" dir="t"/>
    </dgm:scene3d>
    <dgm:sp3d prstMaterial="dkEdge">
      <a:bevelT w="8200" h="38100"/>
    </dgm:sp3d>
    <dgm:txPr/>
    <dgm:style>
      <a:lnRef idx="0">
        <a:scrgbClr r="0" g="0" b="0"/>
      </a:lnRef>
      <a:fillRef idx="2">
        <a:scrgbClr r="0" g="0" b="0"/>
      </a:fillRef>
      <a:effectRef idx="1">
        <a:scrgbClr r="0" g="0" b="0"/>
      </a:effectRef>
      <a:fontRef idx="minor">
        <a:schemeClr val="dk1"/>
      </a:fontRef>
    </dgm:style>
  </dgm:styleLbl>
  <dgm:styleLbl name="node3">
    <dgm:scene3d>
      <a:camera prst="orthographicFront"/>
      <a:lightRig rig="flat" dir="t"/>
    </dgm:scene3d>
    <dgm:sp3d prstMaterial="dkEdge">
      <a:bevelT w="8200" h="38100"/>
    </dgm:sp3d>
    <dgm:txPr/>
    <dgm:style>
      <a:lnRef idx="0">
        <a:scrgbClr r="0" g="0" b="0"/>
      </a:lnRef>
      <a:fillRef idx="2">
        <a:scrgbClr r="0" g="0" b="0"/>
      </a:fillRef>
      <a:effectRef idx="1">
        <a:scrgbClr r="0" g="0" b="0"/>
      </a:effectRef>
      <a:fontRef idx="minor">
        <a:schemeClr val="dk1"/>
      </a:fontRef>
    </dgm:style>
  </dgm:styleLbl>
  <dgm:styleLbl name="node4">
    <dgm:scene3d>
      <a:camera prst="orthographicFront"/>
      <a:lightRig rig="flat" dir="t"/>
    </dgm:scene3d>
    <dgm:sp3d prstMaterial="dkEdge">
      <a:bevelT w="8200" h="38100"/>
    </dgm:sp3d>
    <dgm:txPr/>
    <dgm:style>
      <a:lnRef idx="0">
        <a:scrgbClr r="0" g="0" b="0"/>
      </a:lnRef>
      <a:fillRef idx="2">
        <a:scrgbClr r="0" g="0" b="0"/>
      </a:fillRef>
      <a:effectRef idx="1">
        <a:scrgbClr r="0" g="0" b="0"/>
      </a:effectRef>
      <a:fontRef idx="minor">
        <a:schemeClr val="dk1"/>
      </a:fontRef>
    </dgm:style>
  </dgm:styleLbl>
  <dgm:styleLbl name="fgImgPlace1">
    <dgm:scene3d>
      <a:camera prst="orthographicFront"/>
      <a:lightRig rig="threePt" dir="t"/>
    </dgm:scene3d>
    <dgm:sp3d/>
    <dgm:txPr/>
    <dgm:style>
      <a:lnRef idx="1">
        <a:scrgbClr r="0" g="0" b="0"/>
      </a:lnRef>
      <a:fillRef idx="1">
        <a:scrgbClr r="0" g="0" b="0"/>
      </a:fillRef>
      <a:effectRef idx="1">
        <a:scrgbClr r="0" g="0" b="0"/>
      </a:effectRef>
      <a:fontRef idx="minor"/>
    </dgm:style>
  </dgm:styleLbl>
  <dgm:styleLbl name="alignImgPlace1">
    <dgm:scene3d>
      <a:camera prst="orthographicFront"/>
      <a:lightRig rig="threePt" dir="t"/>
    </dgm:scene3d>
    <dgm:sp3d/>
    <dgm:txPr/>
    <dgm:style>
      <a:lnRef idx="1">
        <a:scrgbClr r="0" g="0" b="0"/>
      </a:lnRef>
      <a:fillRef idx="1">
        <a:scrgbClr r="0" g="0" b="0"/>
      </a:fillRef>
      <a:effectRef idx="1">
        <a:scrgbClr r="0" g="0" b="0"/>
      </a:effectRef>
      <a:fontRef idx="minor"/>
    </dgm:style>
  </dgm:styleLbl>
  <dgm:styleLbl name="bgImgPlace1">
    <dgm:scene3d>
      <a:camera prst="orthographicFront"/>
      <a:lightRig rig="threePt" dir="t"/>
    </dgm:scene3d>
    <dgm:sp3d/>
    <dgm:txPr/>
    <dgm:style>
      <a:lnRef idx="1">
        <a:scrgbClr r="0" g="0" b="0"/>
      </a:lnRef>
      <a:fillRef idx="1">
        <a:scrgbClr r="0" g="0" b="0"/>
      </a:fillRef>
      <a:effectRef idx="1">
        <a:scrgbClr r="0" g="0" b="0"/>
      </a:effectRef>
      <a:fontRef idx="minor"/>
    </dgm:style>
  </dgm:styleLbl>
  <dgm:styleLbl name="sibTrans2D1">
    <dgm:scene3d>
      <a:camera prst="orthographicFront"/>
      <a:lightRig rig="threePt" dir="t"/>
    </dgm:scene3d>
    <dgm:sp3d/>
    <dgm:txPr/>
    <dgm:style>
      <a:lnRef idx="0">
        <a:scrgbClr r="0" g="0" b="0"/>
      </a:lnRef>
      <a:fillRef idx="2">
        <a:scrgbClr r="0" g="0" b="0"/>
      </a:fillRef>
      <a:effectRef idx="1">
        <a:scrgbClr r="0" g="0" b="0"/>
      </a:effectRef>
      <a:fontRef idx="minor">
        <a:schemeClr val="dk1"/>
      </a:fontRef>
    </dgm:style>
  </dgm:styleLbl>
  <dgm:styleLbl name="fgSibTrans2D1">
    <dgm:scene3d>
      <a:camera prst="orthographicFront"/>
      <a:lightRig rig="threePt" dir="t"/>
    </dgm:scene3d>
    <dgm:sp3d/>
    <dgm:txPr/>
    <dgm:style>
      <a:lnRef idx="0">
        <a:scrgbClr r="0" g="0" b="0"/>
      </a:lnRef>
      <a:fillRef idx="2">
        <a:scrgbClr r="0" g="0" b="0"/>
      </a:fillRef>
      <a:effectRef idx="1">
        <a:scrgbClr r="0" g="0" b="0"/>
      </a:effectRef>
      <a:fontRef idx="minor">
        <a:schemeClr val="dk1"/>
      </a:fontRef>
    </dgm:style>
  </dgm:styleLbl>
  <dgm:styleLbl name="bgSibTrans2D1">
    <dgm:scene3d>
      <a:camera prst="orthographicFront"/>
      <a:lightRig rig="threePt" dir="t"/>
    </dgm:scene3d>
    <dgm:sp3d/>
    <dgm:txPr/>
    <dgm:style>
      <a:lnRef idx="0">
        <a:scrgbClr r="0" g="0" b="0"/>
      </a:lnRef>
      <a:fillRef idx="2">
        <a:scrgbClr r="0" g="0" b="0"/>
      </a:fillRef>
      <a:effectRef idx="1">
        <a:scrgbClr r="0" g="0" b="0"/>
      </a:effectRef>
      <a:fontRef idx="minor">
        <a:schemeClr val="dk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1">
        <a:scrgbClr r="0" g="0" b="0"/>
      </a:lnRef>
      <a:fillRef idx="2">
        <a:scrgbClr r="0" g="0" b="0"/>
      </a:fillRef>
      <a:effectRef idx="1">
        <a:scrgbClr r="0" g="0" b="0"/>
      </a:effectRef>
      <a:fontRef idx="minor"/>
    </dgm:style>
  </dgm:styleLbl>
  <dgm:styleLbl name="asst0">
    <dgm:scene3d>
      <a:camera prst="orthographicFront"/>
      <a:lightRig rig="flat" dir="t"/>
    </dgm:scene3d>
    <dgm:sp3d prstMaterial="dkEdge">
      <a:bevelT w="8200" h="38100"/>
    </dgm:sp3d>
    <dgm:txPr/>
    <dgm:style>
      <a:lnRef idx="0">
        <a:scrgbClr r="0" g="0" b="0"/>
      </a:lnRef>
      <a:fillRef idx="2">
        <a:scrgbClr r="0" g="0" b="0"/>
      </a:fillRef>
      <a:effectRef idx="1">
        <a:scrgbClr r="0" g="0" b="0"/>
      </a:effectRef>
      <a:fontRef idx="minor">
        <a:schemeClr val="dk1"/>
      </a:fontRef>
    </dgm:style>
  </dgm:styleLbl>
  <dgm:styleLbl name="asst1">
    <dgm:scene3d>
      <a:camera prst="orthographicFront"/>
      <a:lightRig rig="flat" dir="t"/>
    </dgm:scene3d>
    <dgm:sp3d prstMaterial="dkEdge">
      <a:bevelT w="8200" h="38100"/>
    </dgm:sp3d>
    <dgm:txPr/>
    <dgm:style>
      <a:lnRef idx="0">
        <a:scrgbClr r="0" g="0" b="0"/>
      </a:lnRef>
      <a:fillRef idx="2">
        <a:scrgbClr r="0" g="0" b="0"/>
      </a:fillRef>
      <a:effectRef idx="1">
        <a:scrgbClr r="0" g="0" b="0"/>
      </a:effectRef>
      <a:fontRef idx="minor">
        <a:schemeClr val="dk1"/>
      </a:fontRef>
    </dgm:style>
  </dgm:styleLbl>
  <dgm:styleLbl name="asst2">
    <dgm:scene3d>
      <a:camera prst="orthographicFront"/>
      <a:lightRig rig="flat" dir="t"/>
    </dgm:scene3d>
    <dgm:sp3d prstMaterial="dkEdge">
      <a:bevelT w="8200" h="38100"/>
    </dgm:sp3d>
    <dgm:txPr/>
    <dgm:style>
      <a:lnRef idx="0">
        <a:scrgbClr r="0" g="0" b="0"/>
      </a:lnRef>
      <a:fillRef idx="2">
        <a:scrgbClr r="0" g="0" b="0"/>
      </a:fillRef>
      <a:effectRef idx="1">
        <a:scrgbClr r="0" g="0" b="0"/>
      </a:effectRef>
      <a:fontRef idx="minor">
        <a:schemeClr val="dk1"/>
      </a:fontRef>
    </dgm:style>
  </dgm:styleLbl>
  <dgm:styleLbl name="asst3">
    <dgm:scene3d>
      <a:camera prst="orthographicFront"/>
      <a:lightRig rig="flat" dir="t"/>
    </dgm:scene3d>
    <dgm:sp3d prstMaterial="dkEdge">
      <a:bevelT w="8200" h="38100"/>
    </dgm:sp3d>
    <dgm:txPr/>
    <dgm:style>
      <a:lnRef idx="0">
        <a:scrgbClr r="0" g="0" b="0"/>
      </a:lnRef>
      <a:fillRef idx="2">
        <a:scrgbClr r="0" g="0" b="0"/>
      </a:fillRef>
      <a:effectRef idx="1">
        <a:scrgbClr r="0" g="0" b="0"/>
      </a:effectRef>
      <a:fontRef idx="minor">
        <a:schemeClr val="dk1"/>
      </a:fontRef>
    </dgm:style>
  </dgm:styleLbl>
  <dgm:styleLbl name="asst4">
    <dgm:scene3d>
      <a:camera prst="orthographicFront"/>
      <a:lightRig rig="flat" dir="t"/>
    </dgm:scene3d>
    <dgm:sp3d prstMaterial="dkEdge">
      <a:bevelT w="8200" h="38100"/>
    </dgm:sp3d>
    <dgm:txPr/>
    <dgm:style>
      <a:lnRef idx="0">
        <a:scrgbClr r="0" g="0" b="0"/>
      </a:lnRef>
      <a:fillRef idx="2">
        <a:scrgbClr r="0" g="0" b="0"/>
      </a:fillRef>
      <a:effectRef idx="1">
        <a:scrgbClr r="0" g="0" b="0"/>
      </a:effectRef>
      <a:fontRef idx="minor">
        <a:schemeClr val="dk1"/>
      </a:fontRef>
    </dgm:style>
  </dgm:styleLbl>
  <dgm:styleLbl name="parChTrans2D1">
    <dgm:scene3d>
      <a:camera prst="orthographicFront"/>
      <a:lightRig rig="threePt" dir="t"/>
    </dgm:scene3d>
    <dgm:sp3d/>
    <dgm:txPr/>
    <dgm:style>
      <a:lnRef idx="1">
        <a:scrgbClr r="0" g="0" b="0"/>
      </a:lnRef>
      <a:fillRef idx="2">
        <a:scrgbClr r="0" g="0" b="0"/>
      </a:fillRef>
      <a:effectRef idx="1">
        <a:scrgbClr r="0" g="0" b="0"/>
      </a:effectRef>
      <a:fontRef idx="minor">
        <a:schemeClr val="dk1"/>
      </a:fontRef>
    </dgm:style>
  </dgm:styleLbl>
  <dgm:styleLbl name="parChTrans2D2">
    <dgm:scene3d>
      <a:camera prst="orthographicFront"/>
      <a:lightRig rig="threePt" dir="t"/>
    </dgm:scene3d>
    <dgm:sp3d/>
    <dgm:txPr/>
    <dgm:style>
      <a:lnRef idx="1">
        <a:scrgbClr r="0" g="0" b="0"/>
      </a:lnRef>
      <a:fillRef idx="2">
        <a:scrgbClr r="0" g="0" b="0"/>
      </a:fillRef>
      <a:effectRef idx="1">
        <a:scrgbClr r="0" g="0" b="0"/>
      </a:effectRef>
      <a:fontRef idx="minor">
        <a:schemeClr val="dk1"/>
      </a:fontRef>
    </dgm:style>
  </dgm:styleLbl>
  <dgm:styleLbl name="parChTrans2D3">
    <dgm:scene3d>
      <a:camera prst="orthographicFront"/>
      <a:lightRig rig="threePt" dir="t"/>
    </dgm:scene3d>
    <dgm:sp3d/>
    <dgm:txPr/>
    <dgm:style>
      <a:lnRef idx="1">
        <a:scrgbClr r="0" g="0" b="0"/>
      </a:lnRef>
      <a:fillRef idx="2">
        <a:scrgbClr r="0" g="0" b="0"/>
      </a:fillRef>
      <a:effectRef idx="1">
        <a:scrgbClr r="0" g="0" b="0"/>
      </a:effectRef>
      <a:fontRef idx="minor">
        <a:schemeClr val="dk1"/>
      </a:fontRef>
    </dgm:style>
  </dgm:styleLbl>
  <dgm:styleLbl name="parChTrans2D4">
    <dgm:scene3d>
      <a:camera prst="orthographicFront"/>
      <a:lightRig rig="threePt" dir="t"/>
    </dgm:scene3d>
    <dgm:sp3d/>
    <dgm:txPr/>
    <dgm:style>
      <a:lnRef idx="1">
        <a:scrgbClr r="0" g="0" b="0"/>
      </a:lnRef>
      <a:fillRef idx="2">
        <a:scrgbClr r="0" g="0" b="0"/>
      </a:fillRef>
      <a:effectRef idx="1">
        <a:scrgbClr r="0" g="0" b="0"/>
      </a:effectRef>
      <a:fontRef idx="minor">
        <a:schemeClr val="dk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1">
        <a:scrgbClr r="0" g="0" b="0"/>
      </a:lnRef>
      <a:fillRef idx="2">
        <a:scrgbClr r="0" g="0" b="0"/>
      </a:fillRef>
      <a:effectRef idx="0">
        <a:scrgbClr r="0" g="0" b="0"/>
      </a:effectRef>
      <a:fontRef idx="minor"/>
    </dgm:style>
  </dgm:styleLbl>
  <dgm:styleLbl name="solid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1">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1">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flat" dir="t"/>
    </dgm:scene3d>
    <dgm:sp3d prstMaterial="dkEdge">
      <a:bevelT w="8200" h="38100"/>
    </dgm:sp3d>
    <dgm:txPr/>
    <dgm:style>
      <a:lnRef idx="1">
        <a:scrgbClr r="0" g="0" b="0"/>
      </a:lnRef>
      <a:fillRef idx="2">
        <a:scrgbClr r="0" g="0" b="0"/>
      </a:fillRef>
      <a:effectRef idx="1">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3" Type="http://schemas.openxmlformats.org/officeDocument/2006/relationships/diagramQuickStyle" Target="../diagrams/quickStyle1.xml"/><Relationship Id="rId4" Type="http://schemas.openxmlformats.org/officeDocument/2006/relationships/diagramColors" Target="../diagrams/colors1.xml"/><Relationship Id="rId5" Type="http://schemas.microsoft.com/office/2007/relationships/diagramDrawing" Target="../diagrams/drawing1.xml"/><Relationship Id="rId1" Type="http://schemas.openxmlformats.org/officeDocument/2006/relationships/diagramData" Target="../diagrams/data1.xml"/><Relationship Id="rId2" Type="http://schemas.openxmlformats.org/officeDocument/2006/relationships/diagramLayout" Target="../diagrams/layout1.xml"/></Relationships>
</file>

<file path=xl/drawings/drawing1.xml><?xml version="1.0" encoding="utf-8"?>
<xdr:wsDr xmlns:xdr="http://schemas.openxmlformats.org/drawingml/2006/spreadsheetDrawing" xmlns:a="http://schemas.openxmlformats.org/drawingml/2006/main">
  <xdr:twoCellAnchor>
    <xdr:from>
      <xdr:col>4</xdr:col>
      <xdr:colOff>1387927</xdr:colOff>
      <xdr:row>4</xdr:row>
      <xdr:rowOff>140606</xdr:rowOff>
    </xdr:from>
    <xdr:to>
      <xdr:col>6</xdr:col>
      <xdr:colOff>6876142</xdr:colOff>
      <xdr:row>22</xdr:row>
      <xdr:rowOff>163285</xdr:rowOff>
    </xdr:to>
    <xdr:graphicFrame macro="">
      <xdr:nvGraphicFramePr>
        <xdr:cNvPr id="14" name="Diagram 13"/>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 r:lo="rId2" r:qs="rId3" r:cs="rId4"/>
        </a:graphicData>
      </a:graphic>
    </xdr:graphicFrame>
    <xdr:clientData/>
  </xdr:twoCellAnchor>
  <xdr:twoCellAnchor>
    <xdr:from>
      <xdr:col>6</xdr:col>
      <xdr:colOff>469041</xdr:colOff>
      <xdr:row>14</xdr:row>
      <xdr:rowOff>133439</xdr:rowOff>
    </xdr:from>
    <xdr:to>
      <xdr:col>6</xdr:col>
      <xdr:colOff>6513289</xdr:colOff>
      <xdr:row>19</xdr:row>
      <xdr:rowOff>54429</xdr:rowOff>
    </xdr:to>
    <xdr:sp macro="" textlink="">
      <xdr:nvSpPr>
        <xdr:cNvPr id="2" name="TextBox 1"/>
        <xdr:cNvSpPr txBox="1"/>
      </xdr:nvSpPr>
      <xdr:spPr>
        <a:xfrm>
          <a:off x="10647184" y="4560296"/>
          <a:ext cx="6044248" cy="828133"/>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t>Data Management Maturity </a:t>
          </a:r>
          <a:r>
            <a:rPr lang="en-US" sz="2000"/>
            <a:t>level on the above Data Management Practice continuim</a:t>
          </a:r>
        </a:p>
      </xdr:txBody>
    </xdr:sp>
    <xdr:clientData/>
  </xdr:twoCellAnchor>
  <xdr:twoCellAnchor>
    <xdr:from>
      <xdr:col>5</xdr:col>
      <xdr:colOff>530722</xdr:colOff>
      <xdr:row>18</xdr:row>
      <xdr:rowOff>140697</xdr:rowOff>
    </xdr:from>
    <xdr:to>
      <xdr:col>6</xdr:col>
      <xdr:colOff>6204857</xdr:colOff>
      <xdr:row>22</xdr:row>
      <xdr:rowOff>108857</xdr:rowOff>
    </xdr:to>
    <xdr:sp macro="" textlink="">
      <xdr:nvSpPr>
        <xdr:cNvPr id="4" name="TextBox 3"/>
        <xdr:cNvSpPr txBox="1"/>
      </xdr:nvSpPr>
      <xdr:spPr>
        <a:xfrm>
          <a:off x="9166722" y="5293268"/>
          <a:ext cx="7216278" cy="69387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0"/>
            <a:t>From</a:t>
          </a:r>
          <a:r>
            <a:rPr lang="en-US" sz="1600" b="0" baseline="0"/>
            <a:t> Research Data Management Framework: Capabiltiy Maturity Guide: http://ands.org.au/guides/dmframework/dmf-capability-maturity-guide.html</a:t>
          </a:r>
          <a:endParaRPr lang="en-US" sz="1600" b="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tabColor rgb="FF3366FF"/>
  </sheetPr>
  <dimension ref="A1:AA45"/>
  <sheetViews>
    <sheetView zoomScale="67" zoomScaleNormal="67" zoomScalePageLayoutView="67" workbookViewId="0">
      <selection activeCell="F13" sqref="F13"/>
    </sheetView>
  </sheetViews>
  <sheetFormatPr baseColWidth="10" defaultColWidth="8.83203125" defaultRowHeight="23" x14ac:dyDescent="0"/>
  <cols>
    <col min="1" max="1" width="10.33203125" style="155" customWidth="1"/>
    <col min="2" max="2" width="27.1640625" style="156" customWidth="1"/>
    <col min="3" max="3" width="8.5" style="157" customWidth="1"/>
    <col min="4" max="4" width="30.5" style="158" customWidth="1"/>
    <col min="5" max="5" width="8.1640625" style="155" customWidth="1"/>
    <col min="6" max="6" width="33.83203125" style="156" customWidth="1"/>
    <col min="7" max="7" width="8" style="157" customWidth="1"/>
    <col min="8" max="8" width="30.6640625" style="156" customWidth="1"/>
    <col min="9" max="9" width="10.5" style="157" customWidth="1"/>
    <col min="10" max="10" width="27" style="156" customWidth="1"/>
    <col min="11" max="11" width="8.83203125" style="156" customWidth="1"/>
    <col min="12" max="12" width="39.33203125" style="156" customWidth="1"/>
    <col min="13" max="13" width="8.6640625" style="156" customWidth="1"/>
    <col min="14" max="14" width="21.5" style="156" customWidth="1"/>
    <col min="15" max="15" width="8.5" style="156" customWidth="1"/>
    <col min="16" max="16" width="22.33203125" style="156" customWidth="1"/>
    <col min="17" max="17" width="11" style="156" customWidth="1"/>
    <col min="18" max="18" width="20.6640625" style="158" customWidth="1"/>
    <col min="19" max="19" width="10.33203125" style="158" customWidth="1"/>
    <col min="20" max="20" width="21.33203125" style="158" customWidth="1"/>
    <col min="21" max="21" width="10.83203125" style="158" customWidth="1"/>
    <col min="22" max="22" width="20.1640625" style="158" customWidth="1"/>
    <col min="23" max="23" width="14.83203125" style="159" customWidth="1"/>
    <col min="24" max="16384" width="8.83203125" style="158"/>
  </cols>
  <sheetData>
    <row r="1" spans="1:27" ht="21" customHeight="1"/>
    <row r="2" spans="1:27" s="166" customFormat="1" ht="122.25" customHeight="1">
      <c r="A2" s="157"/>
      <c r="B2" s="160" t="s">
        <v>0</v>
      </c>
      <c r="C2" s="161"/>
      <c r="D2" s="162" t="s">
        <v>161</v>
      </c>
      <c r="E2" s="157"/>
      <c r="F2" s="160" t="s">
        <v>162</v>
      </c>
      <c r="G2" s="157"/>
      <c r="H2" s="160" t="s">
        <v>163</v>
      </c>
      <c r="I2" s="157"/>
      <c r="J2" s="160" t="s">
        <v>164</v>
      </c>
      <c r="K2" s="160"/>
      <c r="L2" s="160" t="s">
        <v>165</v>
      </c>
      <c r="M2" s="160"/>
      <c r="N2" s="160" t="s">
        <v>166</v>
      </c>
      <c r="O2" s="163"/>
      <c r="P2" s="164"/>
      <c r="Q2" s="164"/>
      <c r="R2" s="163"/>
      <c r="S2" s="163"/>
      <c r="T2" s="163"/>
      <c r="U2" s="163"/>
      <c r="V2" s="165"/>
      <c r="W2" s="165"/>
      <c r="X2" s="165"/>
      <c r="Y2" s="165"/>
      <c r="Z2" s="165"/>
      <c r="AA2" s="165"/>
    </row>
    <row r="3" spans="1:27" s="156" customFormat="1" ht="68.25" customHeight="1">
      <c r="A3" s="157"/>
      <c r="B3" s="167" t="s">
        <v>33</v>
      </c>
      <c r="C3" s="168" t="s">
        <v>148</v>
      </c>
      <c r="D3" s="169" t="s">
        <v>26</v>
      </c>
      <c r="E3" s="161"/>
      <c r="F3" s="170" t="s">
        <v>35</v>
      </c>
      <c r="G3" s="171"/>
      <c r="H3" s="167" t="s">
        <v>40</v>
      </c>
      <c r="I3" s="172"/>
      <c r="J3" s="162" t="s">
        <v>9</v>
      </c>
      <c r="K3" s="160"/>
      <c r="L3" s="173" t="s">
        <v>167</v>
      </c>
      <c r="M3" s="173"/>
      <c r="N3" s="173" t="s">
        <v>168</v>
      </c>
      <c r="O3" s="174"/>
      <c r="P3" s="175"/>
      <c r="Q3" s="175"/>
      <c r="R3" s="175"/>
      <c r="S3" s="175"/>
      <c r="T3" s="175"/>
      <c r="U3" s="175"/>
      <c r="V3" s="175"/>
      <c r="W3" s="175"/>
      <c r="X3" s="175"/>
      <c r="Y3" s="175"/>
      <c r="Z3" s="175"/>
      <c r="AA3" s="175"/>
    </row>
    <row r="4" spans="1:27" s="156" customFormat="1" ht="51.75" customHeight="1">
      <c r="A4" s="157"/>
      <c r="B4" s="167" t="s">
        <v>34</v>
      </c>
      <c r="C4" s="168" t="s">
        <v>148</v>
      </c>
      <c r="D4" s="169" t="s">
        <v>27</v>
      </c>
      <c r="E4" s="176" t="s">
        <v>148</v>
      </c>
      <c r="F4" s="177" t="s">
        <v>104</v>
      </c>
      <c r="G4" s="161"/>
      <c r="H4" s="162" t="s">
        <v>12</v>
      </c>
      <c r="I4" s="178" t="s">
        <v>148</v>
      </c>
      <c r="J4" s="179" t="s">
        <v>132</v>
      </c>
      <c r="K4" s="160"/>
      <c r="L4" s="173" t="s">
        <v>169</v>
      </c>
      <c r="N4" s="173" t="s">
        <v>170</v>
      </c>
      <c r="O4" s="180"/>
      <c r="P4" s="181"/>
      <c r="Q4" s="157" t="s">
        <v>129</v>
      </c>
      <c r="R4" s="182"/>
      <c r="S4" s="182"/>
      <c r="T4" s="182"/>
      <c r="U4" s="182"/>
      <c r="V4" s="183"/>
      <c r="W4" s="183"/>
      <c r="X4" s="183"/>
      <c r="Y4" s="183"/>
      <c r="Z4" s="183"/>
      <c r="AA4" s="183"/>
    </row>
    <row r="5" spans="1:27" ht="58.5" customHeight="1">
      <c r="B5" s="167" t="s">
        <v>36</v>
      </c>
      <c r="C5" s="171"/>
      <c r="D5" s="184"/>
      <c r="E5" s="176" t="s">
        <v>148</v>
      </c>
      <c r="F5" s="185" t="s">
        <v>103</v>
      </c>
      <c r="G5" s="186" t="s">
        <v>148</v>
      </c>
      <c r="H5" s="187" t="s">
        <v>130</v>
      </c>
      <c r="I5" s="161"/>
      <c r="J5" s="162" t="s">
        <v>10</v>
      </c>
      <c r="K5" s="188"/>
      <c r="L5" s="189" t="s">
        <v>48</v>
      </c>
      <c r="N5" s="173" t="s">
        <v>171</v>
      </c>
      <c r="O5" s="180"/>
      <c r="P5" s="181"/>
      <c r="Q5" s="157" t="s">
        <v>147</v>
      </c>
      <c r="R5" s="182"/>
      <c r="S5" s="182"/>
      <c r="T5" s="182"/>
      <c r="U5" s="182"/>
      <c r="V5" s="182"/>
      <c r="W5" s="182"/>
      <c r="X5" s="182"/>
      <c r="Y5" s="182"/>
      <c r="Z5" s="182"/>
      <c r="AA5" s="182"/>
    </row>
    <row r="6" spans="1:27" ht="57" customHeight="1">
      <c r="A6" s="161"/>
      <c r="B6" s="162" t="s">
        <v>14</v>
      </c>
      <c r="C6" s="171"/>
      <c r="D6" s="184"/>
      <c r="E6" s="176" t="s">
        <v>148</v>
      </c>
      <c r="F6" s="185" t="s">
        <v>28</v>
      </c>
      <c r="G6" s="186" t="s">
        <v>148</v>
      </c>
      <c r="H6" s="187" t="s">
        <v>131</v>
      </c>
      <c r="I6" s="178" t="s">
        <v>148</v>
      </c>
      <c r="J6" s="179" t="s">
        <v>146</v>
      </c>
      <c r="K6" s="190" t="s">
        <v>148</v>
      </c>
      <c r="L6" s="191" t="s">
        <v>142</v>
      </c>
      <c r="N6" s="173" t="s">
        <v>172</v>
      </c>
      <c r="O6" s="173"/>
      <c r="P6" s="192"/>
      <c r="Q6" s="157" t="s">
        <v>148</v>
      </c>
    </row>
    <row r="7" spans="1:27" ht="30.75" customHeight="1">
      <c r="A7" s="178" t="s">
        <v>148</v>
      </c>
      <c r="B7" s="179" t="s">
        <v>138</v>
      </c>
      <c r="C7" s="171"/>
      <c r="D7" s="184"/>
      <c r="E7" s="176" t="s">
        <v>148</v>
      </c>
      <c r="F7" s="185" t="s">
        <v>30</v>
      </c>
      <c r="G7" s="186" t="s">
        <v>148</v>
      </c>
      <c r="H7" s="193" t="s">
        <v>19</v>
      </c>
      <c r="I7" s="161"/>
      <c r="J7" s="194" t="s">
        <v>173</v>
      </c>
      <c r="K7" s="190" t="s">
        <v>148</v>
      </c>
      <c r="L7" s="191" t="s">
        <v>133</v>
      </c>
      <c r="M7" s="195"/>
      <c r="N7" s="195"/>
      <c r="O7" s="195"/>
      <c r="P7" s="192"/>
      <c r="Q7" s="192"/>
    </row>
    <row r="8" spans="1:27" ht="43.5" customHeight="1">
      <c r="A8" s="178" t="s">
        <v>148</v>
      </c>
      <c r="B8" s="196" t="s">
        <v>139</v>
      </c>
      <c r="C8" s="171"/>
      <c r="D8" s="184"/>
      <c r="E8" s="176" t="s">
        <v>148</v>
      </c>
      <c r="F8" s="185" t="s">
        <v>31</v>
      </c>
      <c r="G8" s="186" t="s">
        <v>148</v>
      </c>
      <c r="H8" s="193" t="s">
        <v>42</v>
      </c>
      <c r="I8" s="190" t="s">
        <v>148</v>
      </c>
      <c r="J8" s="191" t="s">
        <v>144</v>
      </c>
      <c r="K8" s="190" t="s">
        <v>148</v>
      </c>
      <c r="L8" s="191" t="s">
        <v>134</v>
      </c>
      <c r="M8" s="195"/>
      <c r="O8" s="195"/>
      <c r="P8" s="192"/>
      <c r="Q8" s="192"/>
      <c r="R8" s="156"/>
      <c r="S8" s="156"/>
      <c r="T8" s="156"/>
      <c r="U8" s="156"/>
    </row>
    <row r="9" spans="1:27" ht="45.75" customHeight="1">
      <c r="A9" s="178" t="s">
        <v>148</v>
      </c>
      <c r="B9" s="196" t="s">
        <v>126</v>
      </c>
      <c r="C9" s="171"/>
      <c r="D9" s="184"/>
      <c r="E9" s="172"/>
      <c r="F9" s="162" t="s">
        <v>11</v>
      </c>
      <c r="G9" s="186" t="s">
        <v>148</v>
      </c>
      <c r="H9" s="197" t="s">
        <v>18</v>
      </c>
      <c r="J9" s="198" t="s">
        <v>174</v>
      </c>
      <c r="K9" s="190" t="s">
        <v>148</v>
      </c>
      <c r="L9" s="191" t="s">
        <v>135</v>
      </c>
      <c r="M9" s="195"/>
      <c r="O9" s="195"/>
      <c r="P9" s="192"/>
      <c r="Q9" s="192"/>
      <c r="T9" s="156"/>
      <c r="U9" s="156"/>
    </row>
    <row r="10" spans="1:27" s="156" customFormat="1" ht="77.25" customHeight="1">
      <c r="A10" s="178" t="s">
        <v>148</v>
      </c>
      <c r="B10" s="196" t="s">
        <v>127</v>
      </c>
      <c r="C10" s="171"/>
      <c r="D10" s="199"/>
      <c r="E10" s="186" t="s">
        <v>148</v>
      </c>
      <c r="F10" s="197" t="s">
        <v>105</v>
      </c>
      <c r="G10" s="157"/>
      <c r="H10" s="160"/>
      <c r="I10" s="200"/>
      <c r="J10" s="201" t="s">
        <v>175</v>
      </c>
      <c r="K10" s="190" t="s">
        <v>148</v>
      </c>
      <c r="L10" s="202" t="s">
        <v>21</v>
      </c>
      <c r="M10" s="195"/>
      <c r="N10" s="195"/>
      <c r="O10" s="195"/>
      <c r="P10" s="192"/>
      <c r="Q10" s="192"/>
      <c r="W10" s="203"/>
    </row>
    <row r="11" spans="1:27" s="156" customFormat="1" ht="31.5" customHeight="1">
      <c r="A11" s="155"/>
      <c r="B11" s="167" t="s">
        <v>37</v>
      </c>
      <c r="C11" s="171"/>
      <c r="D11" s="199"/>
      <c r="E11" s="186" t="s">
        <v>148</v>
      </c>
      <c r="F11" s="193" t="s">
        <v>106</v>
      </c>
      <c r="G11" s="157"/>
      <c r="H11" s="160"/>
      <c r="I11" s="157"/>
      <c r="J11" s="160"/>
      <c r="K11" s="190" t="s">
        <v>148</v>
      </c>
      <c r="L11" s="202" t="s">
        <v>22</v>
      </c>
      <c r="M11" s="195"/>
      <c r="N11" s="195"/>
      <c r="O11" s="195"/>
      <c r="P11" s="192"/>
      <c r="Q11" s="192"/>
      <c r="W11" s="203"/>
    </row>
    <row r="12" spans="1:27" s="156" customFormat="1" ht="65.25" customHeight="1">
      <c r="A12" s="155"/>
      <c r="B12" s="167" t="s">
        <v>38</v>
      </c>
      <c r="C12" s="171"/>
      <c r="D12" s="199"/>
      <c r="E12" s="204"/>
      <c r="F12" s="162" t="s">
        <v>13</v>
      </c>
      <c r="G12" s="157"/>
      <c r="H12" s="160"/>
      <c r="I12" s="157"/>
      <c r="J12" s="160"/>
      <c r="K12" s="190" t="s">
        <v>148</v>
      </c>
      <c r="L12" s="202" t="s">
        <v>23</v>
      </c>
      <c r="M12" s="195"/>
      <c r="N12" s="195"/>
      <c r="O12" s="195"/>
      <c r="P12" s="192"/>
      <c r="Q12" s="192"/>
      <c r="R12" s="158"/>
      <c r="S12" s="158"/>
      <c r="T12" s="158"/>
      <c r="U12" s="158"/>
      <c r="W12" s="203"/>
    </row>
    <row r="13" spans="1:27" s="156" customFormat="1" ht="57" customHeight="1">
      <c r="A13" s="155"/>
      <c r="B13" s="160"/>
      <c r="C13" s="171"/>
      <c r="D13" s="199"/>
      <c r="E13" s="186" t="s">
        <v>148</v>
      </c>
      <c r="F13" s="187" t="s">
        <v>141</v>
      </c>
      <c r="G13" s="157"/>
      <c r="H13" s="160"/>
      <c r="I13" s="157"/>
      <c r="J13" s="160"/>
      <c r="K13" s="190" t="s">
        <v>148</v>
      </c>
      <c r="L13" s="202" t="s">
        <v>24</v>
      </c>
      <c r="M13" s="195"/>
      <c r="O13" s="195"/>
      <c r="P13" s="192"/>
      <c r="Q13" s="192"/>
      <c r="R13" s="158"/>
      <c r="S13" s="158"/>
      <c r="T13" s="158"/>
      <c r="U13" s="158"/>
      <c r="W13" s="203"/>
    </row>
    <row r="14" spans="1:27" ht="48.75" customHeight="1">
      <c r="B14" s="160"/>
      <c r="C14" s="171"/>
      <c r="D14" s="184"/>
      <c r="E14" s="186" t="s">
        <v>148</v>
      </c>
      <c r="F14" s="193" t="s">
        <v>107</v>
      </c>
      <c r="H14" s="160"/>
      <c r="J14" s="160"/>
      <c r="L14" s="173"/>
      <c r="M14" s="195"/>
      <c r="N14" s="195"/>
      <c r="O14" s="195"/>
      <c r="P14" s="192"/>
      <c r="Q14" s="192"/>
    </row>
    <row r="15" spans="1:27" ht="33" customHeight="1">
      <c r="B15" s="160"/>
      <c r="C15" s="171"/>
      <c r="D15" s="184"/>
      <c r="E15" s="186" t="s">
        <v>148</v>
      </c>
      <c r="F15" s="193" t="s">
        <v>32</v>
      </c>
      <c r="H15" s="160"/>
      <c r="J15" s="160"/>
      <c r="L15" s="173" t="s">
        <v>176</v>
      </c>
      <c r="M15" s="195"/>
      <c r="N15" s="195"/>
      <c r="O15" s="195"/>
      <c r="P15" s="192"/>
      <c r="Q15" s="192"/>
    </row>
    <row r="16" spans="1:27" ht="39" customHeight="1">
      <c r="B16" s="160"/>
      <c r="C16" s="171"/>
      <c r="D16" s="184"/>
      <c r="E16" s="204"/>
      <c r="F16" s="162" t="s">
        <v>17</v>
      </c>
      <c r="H16" s="160"/>
      <c r="J16" s="160"/>
      <c r="L16" s="173" t="s">
        <v>177</v>
      </c>
      <c r="M16" s="195"/>
      <c r="N16" s="195"/>
      <c r="O16" s="195"/>
      <c r="P16" s="192"/>
      <c r="Q16" s="192"/>
    </row>
    <row r="17" spans="2:17" ht="37.5" customHeight="1">
      <c r="B17" s="160"/>
      <c r="C17" s="171"/>
      <c r="D17" s="184"/>
      <c r="E17" s="176" t="s">
        <v>148</v>
      </c>
      <c r="F17" s="205" t="s">
        <v>108</v>
      </c>
      <c r="H17" s="160"/>
      <c r="J17" s="160"/>
      <c r="M17" s="195"/>
      <c r="N17" s="195"/>
      <c r="P17" s="192"/>
      <c r="Q17" s="192"/>
    </row>
    <row r="18" spans="2:17" ht="30" customHeight="1">
      <c r="B18" s="160"/>
      <c r="C18" s="171"/>
      <c r="D18" s="184"/>
      <c r="E18" s="176" t="s">
        <v>148</v>
      </c>
      <c r="F18" s="205" t="s">
        <v>109</v>
      </c>
      <c r="H18" s="160"/>
      <c r="J18" s="160"/>
      <c r="M18" s="195"/>
      <c r="N18" s="195"/>
      <c r="P18" s="192"/>
      <c r="Q18" s="192"/>
    </row>
    <row r="19" spans="2:17" ht="39" customHeight="1">
      <c r="B19" s="160"/>
      <c r="D19" s="184"/>
      <c r="E19" s="176" t="s">
        <v>148</v>
      </c>
      <c r="F19" s="205" t="s">
        <v>110</v>
      </c>
      <c r="H19" s="160"/>
      <c r="J19" s="160"/>
      <c r="M19" s="195"/>
      <c r="N19" s="195"/>
      <c r="P19" s="192"/>
      <c r="Q19" s="192"/>
    </row>
    <row r="20" spans="2:17" ht="36.75" customHeight="1">
      <c r="B20" s="160"/>
      <c r="D20" s="184"/>
      <c r="E20" s="176" t="s">
        <v>148</v>
      </c>
      <c r="F20" s="205" t="s">
        <v>111</v>
      </c>
      <c r="G20" s="171"/>
      <c r="H20" s="160"/>
      <c r="J20" s="160"/>
      <c r="M20" s="195"/>
      <c r="P20" s="192"/>
      <c r="Q20" s="192"/>
    </row>
    <row r="21" spans="2:17" ht="48" customHeight="1">
      <c r="B21" s="160"/>
      <c r="D21" s="184"/>
      <c r="E21" s="176" t="s">
        <v>148</v>
      </c>
      <c r="F21" s="205" t="s">
        <v>112</v>
      </c>
      <c r="H21" s="160"/>
      <c r="J21" s="160"/>
      <c r="P21" s="192"/>
      <c r="Q21" s="192"/>
    </row>
    <row r="22" spans="2:17" ht="29.25" customHeight="1">
      <c r="B22" s="160"/>
      <c r="D22" s="184"/>
      <c r="E22" s="176" t="s">
        <v>148</v>
      </c>
      <c r="F22" s="185" t="s">
        <v>29</v>
      </c>
      <c r="H22" s="160"/>
      <c r="J22" s="160"/>
      <c r="P22" s="192"/>
      <c r="Q22" s="192"/>
    </row>
    <row r="23" spans="2:17" ht="32.25" customHeight="1">
      <c r="B23" s="160"/>
      <c r="D23" s="184"/>
      <c r="E23" s="176" t="s">
        <v>148</v>
      </c>
      <c r="F23" s="205" t="s">
        <v>113</v>
      </c>
      <c r="H23" s="160"/>
      <c r="J23" s="160"/>
      <c r="P23" s="192"/>
      <c r="Q23" s="192"/>
    </row>
    <row r="24" spans="2:17" ht="32.25" customHeight="1">
      <c r="B24" s="160"/>
      <c r="D24" s="184"/>
      <c r="E24" s="176" t="s">
        <v>148</v>
      </c>
      <c r="F24" s="205" t="s">
        <v>145</v>
      </c>
      <c r="H24" s="160"/>
      <c r="J24" s="160"/>
      <c r="P24" s="192"/>
      <c r="Q24" s="192"/>
    </row>
    <row r="25" spans="2:17" ht="42" customHeight="1">
      <c r="B25" s="160"/>
      <c r="D25" s="184"/>
      <c r="E25" s="176" t="s">
        <v>148</v>
      </c>
      <c r="F25" s="205" t="s">
        <v>114</v>
      </c>
      <c r="H25" s="160"/>
      <c r="J25" s="160"/>
      <c r="P25" s="192"/>
      <c r="Q25" s="192"/>
    </row>
    <row r="26" spans="2:17" ht="37.5" customHeight="1">
      <c r="B26" s="160"/>
      <c r="D26" s="184"/>
      <c r="E26" s="176" t="s">
        <v>148</v>
      </c>
      <c r="F26" s="205" t="s">
        <v>115</v>
      </c>
      <c r="H26" s="160"/>
      <c r="J26" s="160"/>
      <c r="P26" s="192"/>
      <c r="Q26" s="192"/>
    </row>
    <row r="27" spans="2:17" ht="46.5" customHeight="1">
      <c r="B27" s="160"/>
      <c r="D27" s="184"/>
      <c r="E27" s="176" t="s">
        <v>148</v>
      </c>
      <c r="F27" s="205" t="s">
        <v>116</v>
      </c>
      <c r="H27" s="160"/>
      <c r="J27" s="160"/>
      <c r="P27" s="192"/>
      <c r="Q27" s="192"/>
    </row>
    <row r="28" spans="2:17" ht="51" customHeight="1">
      <c r="B28" s="160"/>
      <c r="D28" s="184"/>
      <c r="E28" s="176" t="s">
        <v>148</v>
      </c>
      <c r="F28" s="205" t="s">
        <v>117</v>
      </c>
      <c r="H28" s="160"/>
      <c r="J28" s="160"/>
      <c r="P28" s="192"/>
      <c r="Q28" s="192"/>
    </row>
    <row r="29" spans="2:17" ht="42.75" customHeight="1">
      <c r="B29" s="160"/>
      <c r="D29" s="184"/>
      <c r="E29" s="176" t="s">
        <v>148</v>
      </c>
      <c r="F29" s="205" t="s">
        <v>118</v>
      </c>
      <c r="H29" s="160"/>
      <c r="J29" s="160"/>
      <c r="P29" s="192"/>
      <c r="Q29" s="192"/>
    </row>
    <row r="30" spans="2:17" ht="30.75" customHeight="1">
      <c r="B30" s="160"/>
      <c r="D30" s="184"/>
      <c r="E30" s="176" t="s">
        <v>148</v>
      </c>
      <c r="F30" s="206" t="s">
        <v>51</v>
      </c>
      <c r="H30" s="160"/>
      <c r="J30" s="160"/>
      <c r="P30" s="192"/>
      <c r="Q30" s="192"/>
    </row>
    <row r="31" spans="2:17" ht="31.5" customHeight="1">
      <c r="B31" s="160"/>
      <c r="D31" s="184"/>
      <c r="E31" s="207"/>
      <c r="F31" s="208" t="s">
        <v>39</v>
      </c>
      <c r="H31" s="160"/>
      <c r="J31" s="160"/>
      <c r="P31" s="192"/>
      <c r="Q31" s="192"/>
    </row>
    <row r="32" spans="2:17" ht="28.5" customHeight="1">
      <c r="B32" s="160"/>
      <c r="D32" s="184"/>
      <c r="E32" s="204"/>
      <c r="F32" s="162" t="s">
        <v>15</v>
      </c>
      <c r="H32" s="160"/>
      <c r="P32" s="192"/>
      <c r="Q32" s="192"/>
    </row>
    <row r="33" spans="2:17" ht="51.75" customHeight="1">
      <c r="B33" s="160"/>
      <c r="D33" s="184"/>
      <c r="E33" s="190" t="s">
        <v>148</v>
      </c>
      <c r="F33" s="191" t="s">
        <v>143</v>
      </c>
      <c r="H33" s="160"/>
      <c r="P33" s="192"/>
      <c r="Q33" s="192"/>
    </row>
    <row r="34" spans="2:17" ht="49.5" customHeight="1">
      <c r="B34" s="160"/>
      <c r="C34" s="171"/>
      <c r="D34" s="184"/>
      <c r="E34" s="190" t="s">
        <v>148</v>
      </c>
      <c r="F34" s="191" t="s">
        <v>119</v>
      </c>
      <c r="H34" s="160"/>
      <c r="P34" s="192"/>
      <c r="Q34" s="192"/>
    </row>
    <row r="35" spans="2:17" ht="59.25" customHeight="1">
      <c r="B35" s="160"/>
      <c r="C35" s="171"/>
      <c r="D35" s="184"/>
      <c r="E35" s="190" t="s">
        <v>148</v>
      </c>
      <c r="F35" s="191" t="s">
        <v>120</v>
      </c>
      <c r="H35" s="160"/>
      <c r="P35" s="192"/>
      <c r="Q35" s="192"/>
    </row>
    <row r="36" spans="2:17" ht="54" customHeight="1">
      <c r="B36" s="160"/>
      <c r="D36" s="184"/>
      <c r="E36" s="190" t="s">
        <v>148</v>
      </c>
      <c r="F36" s="191" t="s">
        <v>121</v>
      </c>
      <c r="H36" s="160"/>
      <c r="P36" s="192"/>
      <c r="Q36" s="192"/>
    </row>
    <row r="37" spans="2:17" ht="45" customHeight="1">
      <c r="B37" s="160"/>
      <c r="D37" s="184"/>
      <c r="E37" s="190" t="s">
        <v>148</v>
      </c>
      <c r="F37" s="191" t="s">
        <v>122</v>
      </c>
      <c r="H37" s="160"/>
      <c r="P37" s="192"/>
      <c r="Q37" s="192"/>
    </row>
    <row r="38" spans="2:17" ht="36" customHeight="1">
      <c r="B38" s="160"/>
      <c r="D38" s="184"/>
      <c r="E38" s="161"/>
      <c r="F38" s="162" t="s">
        <v>16</v>
      </c>
      <c r="H38" s="160"/>
      <c r="P38" s="192"/>
      <c r="Q38" s="192"/>
    </row>
    <row r="39" spans="2:17" ht="33.75" customHeight="1">
      <c r="B39" s="160"/>
      <c r="D39" s="184"/>
      <c r="E39" s="190" t="s">
        <v>148</v>
      </c>
      <c r="F39" s="191" t="s">
        <v>136</v>
      </c>
      <c r="H39" s="160"/>
      <c r="P39" s="192"/>
      <c r="Q39" s="192"/>
    </row>
    <row r="40" spans="2:17" ht="36.75" customHeight="1">
      <c r="D40" s="184"/>
      <c r="E40" s="190" t="s">
        <v>148</v>
      </c>
      <c r="F40" s="209" t="s">
        <v>20</v>
      </c>
      <c r="H40" s="160"/>
      <c r="P40" s="192"/>
      <c r="Q40" s="192"/>
    </row>
    <row r="41" spans="2:17" ht="69">
      <c r="D41" s="184"/>
      <c r="E41" s="190" t="s">
        <v>148</v>
      </c>
      <c r="F41" s="191" t="s">
        <v>123</v>
      </c>
      <c r="H41" s="160"/>
      <c r="P41" s="192"/>
      <c r="Q41" s="192"/>
    </row>
    <row r="42" spans="2:17" ht="29.25" customHeight="1">
      <c r="D42" s="184"/>
      <c r="E42" s="190" t="s">
        <v>148</v>
      </c>
      <c r="F42" s="191" t="s">
        <v>124</v>
      </c>
      <c r="H42" s="160"/>
      <c r="P42" s="192"/>
      <c r="Q42" s="192"/>
    </row>
    <row r="43" spans="2:17" ht="69">
      <c r="E43" s="190" t="s">
        <v>148</v>
      </c>
      <c r="F43" s="191" t="s">
        <v>125</v>
      </c>
    </row>
    <row r="44" spans="2:17" ht="28.5" customHeight="1">
      <c r="E44" s="190" t="s">
        <v>148</v>
      </c>
      <c r="F44" s="209" t="s">
        <v>41</v>
      </c>
    </row>
    <row r="45" spans="2:17" ht="69">
      <c r="E45" s="190" t="s">
        <v>148</v>
      </c>
      <c r="F45" s="209" t="s">
        <v>25</v>
      </c>
    </row>
  </sheetData>
  <phoneticPr fontId="9" type="noConversion"/>
  <dataValidations count="2">
    <dataValidation type="list" allowBlank="1" showInputMessage="1" showErrorMessage="1" sqref="G10:G12">
      <formula1>$Q$5:$Q$6</formula1>
    </dataValidation>
    <dataValidation type="list" allowBlank="1" showInputMessage="1" showErrorMessage="1" sqref="E17:E30 C3:C4 K6:K13 I4 I6 I8 E10:E11 O4:O5 E33:E37 A7:A10 G5:G9 E13:E15 E4:E8 E39:E45">
      <formula1>$Q$4:$Q$6</formula1>
    </dataValidation>
  </dataValidations>
  <pageMargins left="0.7" right="0.7" top="0.75" bottom="0.75" header="0.3" footer="0.3"/>
  <pageSetup paperSize="125" orientation="portrait" horizontalDpi="300" verticalDpi="300"/>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enableFormatConditionsCalculation="0">
    <tabColor rgb="FF92D050"/>
  </sheetPr>
  <dimension ref="A2:K78"/>
  <sheetViews>
    <sheetView tabSelected="1" zoomScale="70" zoomScaleNormal="70" zoomScalePageLayoutView="70" workbookViewId="0">
      <selection activeCell="K18" sqref="K18"/>
    </sheetView>
  </sheetViews>
  <sheetFormatPr baseColWidth="10" defaultColWidth="8.83203125" defaultRowHeight="14" x14ac:dyDescent="0"/>
  <cols>
    <col min="1" max="1" width="18.1640625" style="18" customWidth="1"/>
    <col min="2" max="2" width="36.83203125" style="1" customWidth="1"/>
    <col min="3" max="3" width="19.5" style="17" customWidth="1"/>
    <col min="4" max="4" width="18.5" style="18" bestFit="1" customWidth="1"/>
    <col min="5" max="6" width="20.33203125" style="18" customWidth="1"/>
    <col min="7" max="7" width="111.33203125" style="1" customWidth="1"/>
    <col min="8" max="8" width="18.83203125" style="35" customWidth="1"/>
    <col min="9" max="9" width="21.6640625" style="38" customWidth="1"/>
    <col min="10" max="10" width="8.5" style="39" customWidth="1"/>
    <col min="11" max="11" width="26.6640625" style="1" customWidth="1"/>
    <col min="14" max="14" width="22.5" customWidth="1"/>
  </cols>
  <sheetData>
    <row r="2" spans="1:11">
      <c r="B2" s="70" t="s">
        <v>96</v>
      </c>
    </row>
    <row r="3" spans="1:11">
      <c r="B3" s="71"/>
      <c r="C3" s="63" t="s">
        <v>160</v>
      </c>
      <c r="G3" s="8"/>
      <c r="H3" s="36"/>
      <c r="I3" s="37"/>
      <c r="J3" s="35"/>
      <c r="K3"/>
    </row>
    <row r="4" spans="1:11" ht="31.5" customHeight="1">
      <c r="B4" s="72" t="s">
        <v>43</v>
      </c>
      <c r="C4" s="129">
        <f>FileFmtsDataTypes!$M$5</f>
        <v>0</v>
      </c>
      <c r="D4" s="46" t="str">
        <f t="shared" ref="D4:D8" si="0">IF(C4&gt;=80,"More Sustainable",IF(C4&gt;=60,"Good",IF(C4&gt;=40,"Satisfactory",IF(C4&gt;=20,"Fair","Least Sustainable"))))</f>
        <v>Least Sustainable</v>
      </c>
      <c r="E4" s="49"/>
      <c r="F4" s="49"/>
      <c r="I4" s="37"/>
      <c r="J4" s="35"/>
      <c r="K4"/>
    </row>
    <row r="5" spans="1:11" ht="30" customHeight="1">
      <c r="B5" s="72" t="s">
        <v>44</v>
      </c>
      <c r="C5" s="129">
        <f>OrgFiles!$M$5</f>
        <v>0</v>
      </c>
      <c r="D5" s="46" t="str">
        <f t="shared" si="0"/>
        <v>Least Sustainable</v>
      </c>
      <c r="E5" s="49"/>
      <c r="F5" s="49"/>
      <c r="I5" s="37"/>
      <c r="J5" s="35"/>
      <c r="K5"/>
    </row>
    <row r="6" spans="1:11" ht="28.5" customHeight="1">
      <c r="B6" s="72" t="s">
        <v>45</v>
      </c>
      <c r="C6" s="129">
        <f>SecStrgBackups!$M$5</f>
        <v>0</v>
      </c>
      <c r="D6" s="46" t="str">
        <f t="shared" si="0"/>
        <v>Least Sustainable</v>
      </c>
      <c r="E6" s="49"/>
      <c r="F6" s="49"/>
      <c r="I6" s="37"/>
      <c r="J6" s="35"/>
      <c r="K6"/>
    </row>
    <row r="7" spans="1:11" ht="35.25" customHeight="1">
      <c r="B7" s="72" t="s">
        <v>46</v>
      </c>
      <c r="C7" s="129">
        <f>CopyrightPrivConfid!$M$5</f>
        <v>0</v>
      </c>
      <c r="D7" s="46" t="str">
        <f t="shared" si="0"/>
        <v>Least Sustainable</v>
      </c>
      <c r="E7" s="49"/>
      <c r="F7" s="49"/>
      <c r="I7" s="37"/>
      <c r="J7" s="35"/>
      <c r="K7"/>
    </row>
    <row r="8" spans="1:11" ht="32.25" customHeight="1" thickBot="1">
      <c r="B8" s="72" t="s">
        <v>47</v>
      </c>
      <c r="C8" s="130">
        <f>DataDocMetadata!$M$5</f>
        <v>0</v>
      </c>
      <c r="D8" s="79" t="str">
        <f t="shared" si="0"/>
        <v>Least Sustainable</v>
      </c>
      <c r="E8" s="49"/>
      <c r="F8" s="49"/>
      <c r="I8" s="37"/>
      <c r="J8" s="35"/>
      <c r="K8"/>
    </row>
    <row r="9" spans="1:11" ht="40.5" customHeight="1" thickTop="1">
      <c r="B9" s="78" t="s">
        <v>150</v>
      </c>
      <c r="C9" s="131">
        <f>AVERAGE(C4,C5,C6,C7,C8)</f>
        <v>0</v>
      </c>
      <c r="D9" s="80" t="str">
        <f>IF(C9&gt;=80,"More Sustainable",IF(C9&gt;=60,"Good",IF(C9&gt;=40,"Satisfactory",IF(C9&gt;=20,"Fair","Least Sustainable"))))</f>
        <v>Least Sustainable</v>
      </c>
      <c r="E9" s="49"/>
      <c r="F9" s="49"/>
      <c r="G9"/>
      <c r="I9" s="37"/>
      <c r="J9" s="35"/>
      <c r="K9"/>
    </row>
    <row r="10" spans="1:11" ht="33" customHeight="1">
      <c r="E10" s="49"/>
      <c r="F10" s="49"/>
      <c r="I10" s="37"/>
      <c r="J10" s="35"/>
      <c r="K10"/>
    </row>
    <row r="11" spans="1:11" ht="33" customHeight="1">
      <c r="B11" s="133" t="s">
        <v>151</v>
      </c>
      <c r="C11" s="134"/>
      <c r="D11" s="132" t="str">
        <f>IF(C9&gt;=80,"Optimizing",IF(C9&gt;=60,"Managed",IF(C9&gt;=40,"Defined",IF(C9&gt;=20,"Development","Initial"))))</f>
        <v>Initial</v>
      </c>
    </row>
    <row r="12" spans="1:11">
      <c r="B12" s="70"/>
      <c r="C12" s="18"/>
    </row>
    <row r="13" spans="1:11">
      <c r="B13" s="7"/>
      <c r="C13" s="26"/>
      <c r="J13" s="43"/>
      <c r="K13" s="42"/>
    </row>
    <row r="14" spans="1:11">
      <c r="A14" s="44"/>
      <c r="B14" s="9"/>
      <c r="C14" s="26"/>
      <c r="J14" s="40"/>
      <c r="K14" s="11"/>
    </row>
    <row r="15" spans="1:11">
      <c r="A15" s="44"/>
      <c r="B15" s="9"/>
      <c r="C15" s="26"/>
      <c r="J15" s="41"/>
      <c r="K15" s="11"/>
    </row>
    <row r="16" spans="1:11">
      <c r="A16" s="44"/>
      <c r="B16" s="5"/>
      <c r="C16" s="26"/>
      <c r="J16" s="41"/>
      <c r="K16" s="11"/>
    </row>
    <row r="17" spans="1:11">
      <c r="A17" s="44"/>
      <c r="B17" s="7"/>
      <c r="C17" s="28"/>
      <c r="J17" s="40"/>
      <c r="K17" s="11"/>
    </row>
    <row r="18" spans="1:11">
      <c r="A18" s="44"/>
      <c r="B18" s="7"/>
      <c r="C18" s="28"/>
      <c r="J18" s="40"/>
      <c r="K18" s="11"/>
    </row>
    <row r="19" spans="1:11">
      <c r="A19" s="44"/>
      <c r="B19" s="7"/>
      <c r="C19" s="28"/>
      <c r="J19" s="41"/>
      <c r="K19" s="11"/>
    </row>
    <row r="20" spans="1:11">
      <c r="A20" s="44"/>
      <c r="B20" s="7"/>
      <c r="C20" s="28"/>
      <c r="J20" s="41"/>
      <c r="K20" s="11"/>
    </row>
    <row r="21" spans="1:11">
      <c r="A21" s="44"/>
      <c r="B21" s="7"/>
      <c r="C21" s="28"/>
      <c r="J21" s="40"/>
      <c r="K21" s="11"/>
    </row>
    <row r="22" spans="1:11">
      <c r="A22" s="44"/>
      <c r="C22" s="18"/>
      <c r="J22" s="40"/>
      <c r="K22" s="11"/>
    </row>
    <row r="23" spans="1:11" ht="26.25" customHeight="1">
      <c r="A23" s="44"/>
      <c r="C23" s="44"/>
      <c r="J23" s="40"/>
      <c r="K23" s="11"/>
    </row>
    <row r="24" spans="1:11" ht="22.5" customHeight="1">
      <c r="A24" s="48" t="s">
        <v>95</v>
      </c>
      <c r="B24" s="47" t="s">
        <v>53</v>
      </c>
      <c r="C24" s="45" t="s">
        <v>49</v>
      </c>
      <c r="D24" s="47" t="s">
        <v>50</v>
      </c>
      <c r="E24" s="47" t="s">
        <v>97</v>
      </c>
      <c r="F24" s="47" t="s">
        <v>98</v>
      </c>
      <c r="G24" s="47" t="s">
        <v>52</v>
      </c>
      <c r="J24" s="40"/>
      <c r="K24" s="11"/>
    </row>
    <row r="25" spans="1:11" ht="30.75" customHeight="1">
      <c r="A25" s="18" t="str">
        <f>IF(Interview!E17="NO","X"," ")</f>
        <v>X</v>
      </c>
      <c r="B25" s="16" t="str">
        <f>Interview!F17</f>
        <v>Has documented data sources used</v>
      </c>
      <c r="C25" s="25">
        <v>1</v>
      </c>
      <c r="D25" s="18">
        <v>1</v>
      </c>
      <c r="G25" s="1" t="s">
        <v>77</v>
      </c>
      <c r="J25" s="40"/>
      <c r="K25" s="11"/>
    </row>
    <row r="26" spans="1:11" ht="64.5" customHeight="1">
      <c r="A26" s="18" t="str">
        <f>IF(Interview!E5="NO","X"," ")</f>
        <v>X</v>
      </c>
      <c r="B26" s="6" t="str">
        <f>Interview!F5</f>
        <v xml:space="preserve"> Basic, informal DMP exists and has been communicated</v>
      </c>
      <c r="C26" s="25">
        <v>1</v>
      </c>
      <c r="D26" s="18">
        <v>1</v>
      </c>
      <c r="G26" s="1" t="s">
        <v>128</v>
      </c>
    </row>
    <row r="27" spans="1:11" ht="36.75" customHeight="1">
      <c r="A27" s="18" t="str">
        <f>IF(Interview!C3="NO","X"," ")</f>
        <v>X</v>
      </c>
      <c r="B27" s="11" t="str">
        <f>Interview!D3</f>
        <v>Have you read UVa’s Laboratory Notebook and Recordkeeping policy?</v>
      </c>
      <c r="C27" s="28">
        <v>1</v>
      </c>
      <c r="D27" s="18">
        <v>1</v>
      </c>
      <c r="G27" s="1" t="s">
        <v>76</v>
      </c>
      <c r="J27" s="35"/>
      <c r="K27" s="11"/>
    </row>
    <row r="28" spans="1:11" ht="33.75" customHeight="1">
      <c r="A28" s="18" t="str">
        <f>IF(Interview!C4="NO","X"," ")</f>
        <v>X</v>
      </c>
      <c r="B28" s="11" t="str">
        <f>Interview!D4</f>
        <v>Have you read UVa’s Ownership Rights in Copyrightable Material policy?</v>
      </c>
      <c r="C28" s="28">
        <v>1</v>
      </c>
      <c r="D28" s="18">
        <v>1</v>
      </c>
      <c r="G28" s="1" t="s">
        <v>102</v>
      </c>
      <c r="J28" s="35"/>
      <c r="K28" s="11"/>
    </row>
    <row r="29" spans="1:11" ht="49.5" customHeight="1">
      <c r="A29" s="18" t="str">
        <f>IF(Interview!E6="NO","X"," ")</f>
        <v>X</v>
      </c>
      <c r="B29" s="6" t="str">
        <f>Interview!F6</f>
        <v>DMP has been improved to include all 8 categories.</v>
      </c>
      <c r="C29" s="25">
        <v>2</v>
      </c>
      <c r="D29" s="18">
        <v>2</v>
      </c>
      <c r="G29" s="1" t="s">
        <v>80</v>
      </c>
      <c r="J29" s="35"/>
      <c r="K29" s="6"/>
    </row>
    <row r="30" spans="1:11" ht="27" customHeight="1">
      <c r="A30" s="18" t="str">
        <f>IF(Interview!E14="NO","X"," ")</f>
        <v>X</v>
      </c>
      <c r="B30" s="73" t="str">
        <f>Interview!F14</f>
        <v>Using a consistent file structure</v>
      </c>
      <c r="C30" s="28">
        <v>1</v>
      </c>
      <c r="D30" s="17"/>
      <c r="E30" s="17"/>
      <c r="F30" s="17"/>
      <c r="G30" t="s">
        <v>100</v>
      </c>
      <c r="K30" s="6"/>
    </row>
    <row r="31" spans="1:11" ht="36" customHeight="1">
      <c r="A31" s="18" t="str">
        <f>IF(Interview!E11="NO","X"," ")</f>
        <v>X</v>
      </c>
      <c r="B31" s="73" t="str">
        <f>Interview!F11</f>
        <v>Using file naming conventions for specific disciplines</v>
      </c>
      <c r="C31" s="28">
        <v>1</v>
      </c>
      <c r="D31" s="17"/>
      <c r="E31" s="17"/>
      <c r="F31" s="17"/>
      <c r="G31" t="s">
        <v>94</v>
      </c>
    </row>
    <row r="32" spans="1:11" ht="21.75" customHeight="1">
      <c r="A32" s="18" t="str">
        <f>IF(Interview!A8="NO","X"," ")</f>
        <v>X</v>
      </c>
      <c r="B32" s="73" t="str">
        <f>Interview!B8</f>
        <v>Software agnostic file formats used</v>
      </c>
      <c r="C32" s="25">
        <v>2</v>
      </c>
      <c r="D32" s="17">
        <v>1</v>
      </c>
      <c r="E32" s="17"/>
      <c r="F32" s="17"/>
      <c r="G32" s="1" t="s">
        <v>54</v>
      </c>
    </row>
    <row r="33" spans="1:7" ht="37.5" customHeight="1">
      <c r="A33" s="18" t="str">
        <f>IF(Interview!A10="NO","X"," ")</f>
        <v>X</v>
      </c>
      <c r="B33" s="73" t="str">
        <f>Interview!B10</f>
        <v>Common software or filetype used by the research community (may be proprietary)</v>
      </c>
      <c r="C33" s="25">
        <v>3</v>
      </c>
      <c r="D33" s="17">
        <v>2</v>
      </c>
      <c r="E33" s="17"/>
      <c r="F33" s="17"/>
      <c r="G33" s="1" t="s">
        <v>56</v>
      </c>
    </row>
    <row r="34" spans="1:7" ht="40.5" customHeight="1">
      <c r="A34" s="18" t="str">
        <f>IF(Interview!E18="NO","X"," ")</f>
        <v>X</v>
      </c>
      <c r="B34" s="6" t="str">
        <f>Interview!F18</f>
        <v>Has documented context of data collection (location, temp, etc.)</v>
      </c>
      <c r="C34" s="25">
        <v>2</v>
      </c>
      <c r="D34" s="18">
        <v>1</v>
      </c>
      <c r="G34" s="1" t="s">
        <v>78</v>
      </c>
    </row>
    <row r="35" spans="1:7" ht="33" customHeight="1">
      <c r="A35" s="18" t="str">
        <f>IF(Interview!E19="NO","X"," ")</f>
        <v>X</v>
      </c>
      <c r="B35" s="6" t="str">
        <f>Interview!F19</f>
        <v>Has documented data collection methods</v>
      </c>
      <c r="C35" s="25">
        <v>2</v>
      </c>
      <c r="D35" s="18">
        <v>1</v>
      </c>
      <c r="G35" s="1" t="s">
        <v>79</v>
      </c>
    </row>
    <row r="36" spans="1:7" ht="33.75" customHeight="1">
      <c r="A36" s="18" t="str">
        <f>IF(Interview!E34="NO","X"," ")</f>
        <v>X</v>
      </c>
      <c r="B36" s="7" t="str">
        <f>Interview!F34</f>
        <v>Data is stored on hard-drives or network attached storage (NAS)</v>
      </c>
      <c r="C36" s="28">
        <v>2</v>
      </c>
      <c r="D36" s="17"/>
      <c r="E36" s="17"/>
      <c r="F36" s="17"/>
      <c r="G36" t="s">
        <v>152</v>
      </c>
    </row>
    <row r="37" spans="1:7" ht="21.75" customHeight="1">
      <c r="A37" s="18" t="str">
        <f>IF(Interview!E39="NO","X"," ")</f>
        <v>X</v>
      </c>
      <c r="B37" s="11" t="str">
        <f>Interview!F39</f>
        <v>Doing backups (basic)</v>
      </c>
      <c r="C37" s="28">
        <v>2</v>
      </c>
      <c r="D37" s="17">
        <v>1</v>
      </c>
      <c r="E37" s="17"/>
      <c r="F37" s="17"/>
      <c r="G37" s="1" t="s">
        <v>62</v>
      </c>
    </row>
    <row r="38" spans="1:7" ht="33.75" customHeight="1">
      <c r="A38" s="18" t="str">
        <f>IF(Interview!E20="NO","X"," ")</f>
        <v>X</v>
      </c>
      <c r="B38" s="6" t="str">
        <f>Interview!F20</f>
        <v>Has documented variable names and descriptions</v>
      </c>
      <c r="C38" s="25">
        <v>2</v>
      </c>
      <c r="D38" s="18">
        <v>1</v>
      </c>
      <c r="G38" s="1" t="s">
        <v>81</v>
      </c>
    </row>
    <row r="39" spans="1:7" ht="35.25" customHeight="1">
      <c r="A39" s="18" t="str">
        <f>IF(Interview!K10="NO","X"," ")</f>
        <v>X</v>
      </c>
      <c r="B39" s="11" t="str">
        <f>Interview!L10</f>
        <v>Encryption is always used when storing and transferring sensitive data.</v>
      </c>
      <c r="C39" s="28">
        <v>3</v>
      </c>
      <c r="D39" s="17"/>
      <c r="E39" s="17"/>
      <c r="F39" s="17"/>
      <c r="G39" t="s">
        <v>64</v>
      </c>
    </row>
    <row r="40" spans="1:7" ht="33" customHeight="1">
      <c r="A40" s="18" t="str">
        <f>IF(Interview!K11="NO","X"," ")</f>
        <v>X</v>
      </c>
      <c r="B40" s="11" t="str">
        <f>Interview!L11</f>
        <v>Follows UVa’s “Electronic Data Removal” policy</v>
      </c>
      <c r="C40" s="28">
        <v>3</v>
      </c>
      <c r="D40" s="17"/>
      <c r="E40" s="17"/>
      <c r="F40" s="17"/>
      <c r="G40" t="s">
        <v>65</v>
      </c>
    </row>
    <row r="41" spans="1:7" ht="30.75" customHeight="1">
      <c r="A41" s="18" t="str">
        <f>IF(Interview!K8="NO","X"," ")</f>
        <v>X</v>
      </c>
      <c r="B41" s="11" t="str">
        <f>Interview!L8</f>
        <v>Data is de-identified</v>
      </c>
      <c r="C41" s="28">
        <v>3</v>
      </c>
      <c r="D41" s="17"/>
      <c r="E41" s="17"/>
      <c r="F41" s="17"/>
      <c r="G41" t="s">
        <v>66</v>
      </c>
    </row>
    <row r="42" spans="1:7" ht="24.75" customHeight="1">
      <c r="A42" s="18" t="str">
        <f>IF(Interview!E22="NO","X"," ")</f>
        <v>X</v>
      </c>
      <c r="B42" s="6" t="str">
        <f>Interview!F22</f>
        <v>Understands the need for metadata</v>
      </c>
      <c r="C42" s="25">
        <v>2</v>
      </c>
      <c r="D42" s="18">
        <v>1</v>
      </c>
      <c r="G42" s="1" t="s">
        <v>83</v>
      </c>
    </row>
    <row r="43" spans="1:7" ht="27.75" customHeight="1">
      <c r="A43" s="18" t="str">
        <f>IF(Interview!G9="NO","X"," ")</f>
        <v>X</v>
      </c>
      <c r="B43" s="11" t="str">
        <f>Interview!H9</f>
        <v>Making original document “read only”</v>
      </c>
      <c r="C43" s="28">
        <v>3</v>
      </c>
      <c r="G43" t="s">
        <v>58</v>
      </c>
    </row>
    <row r="44" spans="1:7" ht="60.75" customHeight="1">
      <c r="A44" s="18" t="str">
        <f>IF(Interview!K12="NO","X"," ")</f>
        <v>X</v>
      </c>
      <c r="B44" s="11" t="str">
        <f>Interview!L12</f>
        <v>Faculty/staff who administer sensitive data are following appropriate federal, state, grant agency, or university regulations for protecting and backing up data.</v>
      </c>
      <c r="C44" s="28">
        <v>4</v>
      </c>
      <c r="D44" s="17"/>
      <c r="E44" s="17"/>
      <c r="F44" s="17"/>
      <c r="G44" t="s">
        <v>23</v>
      </c>
    </row>
    <row r="45" spans="1:7" ht="48.75" customHeight="1">
      <c r="A45" s="18" t="str">
        <f>IF(Interview!K13="NO","X"," ")</f>
        <v>X</v>
      </c>
      <c r="B45" s="11" t="str">
        <f>Interview!L13</f>
        <v xml:space="preserve">Cryptology technologies for data storage and transmission of data are based upon open standards. </v>
      </c>
      <c r="C45" s="28">
        <v>4</v>
      </c>
      <c r="D45" s="17"/>
      <c r="E45" s="17"/>
      <c r="F45" s="17"/>
      <c r="G45" t="s">
        <v>68</v>
      </c>
    </row>
    <row r="46" spans="1:7" ht="34.5" customHeight="1">
      <c r="A46" s="18" t="str">
        <f>IF(Interview!E21="NO","X"," ")</f>
        <v>X</v>
      </c>
      <c r="B46" s="6" t="str">
        <f>Interview!F21</f>
        <v>Has explained file structure and organization of data files</v>
      </c>
      <c r="C46" s="25">
        <v>3</v>
      </c>
      <c r="D46" s="18">
        <v>2</v>
      </c>
      <c r="G46" s="1" t="s">
        <v>84</v>
      </c>
    </row>
    <row r="47" spans="1:7" ht="26.25" customHeight="1">
      <c r="A47" s="18" t="str">
        <f>IF(Interview!E11="NO","X"," ")</f>
        <v>X</v>
      </c>
      <c r="B47" s="11" t="str">
        <f>Interview!F11</f>
        <v>Using file naming conventions for specific disciplines</v>
      </c>
      <c r="C47" s="28">
        <v>3</v>
      </c>
      <c r="D47" s="17">
        <v>2</v>
      </c>
      <c r="E47" s="17"/>
      <c r="F47" s="17"/>
      <c r="G47" s="1" t="s">
        <v>57</v>
      </c>
    </row>
    <row r="48" spans="1:7" ht="36.75" customHeight="1">
      <c r="A48" s="18" t="str">
        <f>IF(Interview!E23="NO","X"," ")</f>
        <v>X</v>
      </c>
      <c r="B48" s="6" t="str">
        <f>Interview!F23</f>
        <v>Is performing data validation and quality assurance</v>
      </c>
      <c r="C48" s="25">
        <v>3</v>
      </c>
      <c r="D48" s="18">
        <v>2</v>
      </c>
      <c r="G48" s="1" t="s">
        <v>86</v>
      </c>
    </row>
    <row r="49" spans="1:7" ht="33.75" customHeight="1">
      <c r="A49" s="18" t="str">
        <f>IF(Interview!E35="NO","X"," ")</f>
        <v>X</v>
      </c>
      <c r="B49" s="11" t="str">
        <f>Interview!F35</f>
        <v>Data is stored on their home directory or Uva Collab (temporary)</v>
      </c>
      <c r="C49" s="28">
        <v>3</v>
      </c>
      <c r="D49" s="17"/>
      <c r="E49" s="17"/>
      <c r="F49" s="17"/>
      <c r="G49" t="s">
        <v>67</v>
      </c>
    </row>
    <row r="50" spans="1:7" ht="34.5" customHeight="1">
      <c r="A50" s="18" t="str">
        <f>IF(Interview!E24="NO","X"," ")</f>
        <v>X</v>
      </c>
      <c r="B50" s="6" t="str">
        <f>Interview!F24</f>
        <v>Explains codes and classification schemes used</v>
      </c>
      <c r="C50" s="25">
        <v>3</v>
      </c>
      <c r="D50" s="18">
        <v>2</v>
      </c>
      <c r="G50" s="1" t="s">
        <v>87</v>
      </c>
    </row>
    <row r="51" spans="1:7" ht="33" customHeight="1">
      <c r="A51" s="18" t="str">
        <f>IF(Interview!A9="NO","X"," ")</f>
        <v>X</v>
      </c>
      <c r="B51" s="9" t="str">
        <f>Interview!B9</f>
        <v>Open standard representation (ASCII, Unicode, CSV, txt)</v>
      </c>
      <c r="C51" s="25">
        <v>2</v>
      </c>
      <c r="G51" t="s">
        <v>55</v>
      </c>
    </row>
    <row r="52" spans="1:7" ht="42.75" customHeight="1">
      <c r="A52" s="18" t="str">
        <f>IF(Interview!E25="NO","X"," ")</f>
        <v>X</v>
      </c>
      <c r="B52" s="6" t="str">
        <f>Interview!F25</f>
        <v>Has documented file format and software (including version) used.</v>
      </c>
      <c r="C52" s="25">
        <v>3</v>
      </c>
      <c r="D52" s="18">
        <v>2</v>
      </c>
      <c r="G52" s="1" t="s">
        <v>88</v>
      </c>
    </row>
    <row r="53" spans="1:7" ht="36" customHeight="1">
      <c r="A53" s="18" t="str">
        <f>IF(Interview!E26="NO","X"," ")</f>
        <v>X</v>
      </c>
      <c r="B53" s="6" t="str">
        <f>Interview!F26</f>
        <v>Creates metadata at a basic level (informally)</v>
      </c>
      <c r="C53" s="25">
        <v>3</v>
      </c>
      <c r="D53" s="18">
        <v>2</v>
      </c>
      <c r="G53" s="1" t="s">
        <v>89</v>
      </c>
    </row>
    <row r="54" spans="1:7" ht="37.5" customHeight="1">
      <c r="A54" s="18" t="str">
        <f>IF(Interview!E40="NO","X"," ")</f>
        <v>X</v>
      </c>
      <c r="B54" s="11" t="str">
        <f>Interview!F40</f>
        <v>Adhering to ITC recommended backup cycles with off-site storage</v>
      </c>
      <c r="C54" s="28">
        <v>3</v>
      </c>
      <c r="D54" s="18">
        <v>2</v>
      </c>
      <c r="G54" s="1" t="s">
        <v>63</v>
      </c>
    </row>
    <row r="55" spans="1:7" ht="23.25" customHeight="1">
      <c r="A55" s="18" t="str">
        <f>IF(Interview!E7="NO","X"," ")</f>
        <v>X</v>
      </c>
      <c r="B55" s="6" t="str">
        <f>Interview!F7</f>
        <v>DMP has been reviewed by SciDaC</v>
      </c>
      <c r="C55" s="25">
        <v>3</v>
      </c>
      <c r="D55" s="18">
        <v>3</v>
      </c>
      <c r="G55" s="1" t="s">
        <v>85</v>
      </c>
    </row>
    <row r="56" spans="1:7" ht="21.75" customHeight="1">
      <c r="A56" s="18" t="str">
        <f>IF(Interview!E15="NO","X"," ")</f>
        <v>X</v>
      </c>
      <c r="B56" s="11" t="str">
        <f>Interview!F15</f>
        <v>Use Same Structure for Backups</v>
      </c>
      <c r="C56" s="28">
        <v>4</v>
      </c>
      <c r="D56" s="17">
        <v>3</v>
      </c>
      <c r="E56" s="17"/>
      <c r="F56" s="17"/>
      <c r="G56" s="1" t="s">
        <v>61</v>
      </c>
    </row>
    <row r="57" spans="1:7" ht="45" customHeight="1">
      <c r="A57" s="18" t="str">
        <f>IF(Interview!E28="NO","X"," ")</f>
        <v>X</v>
      </c>
      <c r="B57" s="6" t="str">
        <f>Interview!F28</f>
        <v>Has documented information on confidentiality, access &amp; use conditions</v>
      </c>
      <c r="C57" s="25">
        <v>4</v>
      </c>
      <c r="D57" s="18">
        <v>3</v>
      </c>
      <c r="G57" s="1" t="s">
        <v>91</v>
      </c>
    </row>
    <row r="58" spans="1:7" ht="27" customHeight="1">
      <c r="A58" s="18" t="str">
        <f>IF(Interview!G8="NO","X"," ")</f>
        <v>X</v>
      </c>
      <c r="B58" s="11" t="str">
        <f>Interview!H8</f>
        <v>Uses File Version Control (perhaps SVN)</v>
      </c>
      <c r="C58" s="28">
        <v>4</v>
      </c>
      <c r="G58" t="s">
        <v>60</v>
      </c>
    </row>
    <row r="59" spans="1:7" ht="45.75" customHeight="1">
      <c r="A59" s="18" t="str">
        <f>IF(Interview!E27="NO","X"," ")</f>
        <v>X</v>
      </c>
      <c r="B59" s="6" t="str">
        <f>Interview!F27</f>
        <v>Has documented transformations of data from the raw data through analysis</v>
      </c>
      <c r="C59" s="25">
        <v>4</v>
      </c>
      <c r="D59" s="18">
        <v>3</v>
      </c>
      <c r="G59" s="1" t="s">
        <v>90</v>
      </c>
    </row>
    <row r="60" spans="1:7" ht="33" customHeight="1">
      <c r="A60" s="18" t="str">
        <f>IF(Interview!E29="NO","X"," ")</f>
        <v>X</v>
      </c>
      <c r="B60" s="6" t="str">
        <f>Interview!F29</f>
        <v>Has documented algorithms used to transform data</v>
      </c>
      <c r="C60" s="25">
        <v>4</v>
      </c>
      <c r="D60" s="18">
        <v>3</v>
      </c>
      <c r="G60" s="1" t="s">
        <v>101</v>
      </c>
    </row>
    <row r="61" spans="1:7" ht="42" customHeight="1">
      <c r="A61" s="18" t="str">
        <f>IF(Interview!G7="NO","X"," ")</f>
        <v>X</v>
      </c>
      <c r="B61" s="11" t="str">
        <f>Interview!H7</f>
        <v>Record every change to a file, no matter how small (Log files)</v>
      </c>
      <c r="C61" s="28">
        <v>4</v>
      </c>
      <c r="G61" t="s">
        <v>59</v>
      </c>
    </row>
    <row r="62" spans="1:7" ht="44.25" customHeight="1">
      <c r="A62" s="18" t="str">
        <f>IF(Interview!E36="NO","X"," ")</f>
        <v>X</v>
      </c>
      <c r="B62" s="11" t="str">
        <f>Interview!F36</f>
        <v>Have storage media in appropriate environmental conditions</v>
      </c>
      <c r="C62" s="28">
        <v>4</v>
      </c>
      <c r="G62" t="s">
        <v>69</v>
      </c>
    </row>
    <row r="63" spans="1:7" ht="37.5" customHeight="1">
      <c r="A63" s="18" t="str">
        <f>IF(Interview!E37="NO","X"," ")</f>
        <v>X</v>
      </c>
      <c r="B63" s="11" t="str">
        <f>Interview!F37</f>
        <v>Have data stored in physically secured environment</v>
      </c>
      <c r="C63" s="28">
        <v>4</v>
      </c>
      <c r="D63" s="18">
        <v>3</v>
      </c>
      <c r="G63" s="1" t="s">
        <v>70</v>
      </c>
    </row>
    <row r="64" spans="1:7" ht="36.75" customHeight="1">
      <c r="A64" s="18" t="str">
        <f>IF(Interview!E41="NO","X"," ")</f>
        <v>X</v>
      </c>
      <c r="B64" s="11" t="str">
        <f>Interview!F41</f>
        <v>Backups are being formally administered (on a regular schedule)</v>
      </c>
      <c r="C64" s="28">
        <v>4</v>
      </c>
      <c r="D64" s="18">
        <v>3</v>
      </c>
      <c r="G64" s="1" t="s">
        <v>71</v>
      </c>
    </row>
    <row r="65" spans="1:7" ht="38.25" customHeight="1">
      <c r="A65" s="18" t="str">
        <f>IF(Interview!E42="NO","X"," ")</f>
        <v>X</v>
      </c>
      <c r="B65" s="11" t="str">
        <f>Interview!F42</f>
        <v>Data is deposited in a subject archive (repository)</v>
      </c>
      <c r="C65" s="28">
        <v>4</v>
      </c>
      <c r="G65" t="s">
        <v>72</v>
      </c>
    </row>
    <row r="66" spans="1:7" ht="39.75" customHeight="1">
      <c r="A66" s="18" t="str">
        <f>IF(Interview!E43="NO","X"," ")</f>
        <v>X</v>
      </c>
      <c r="B66" s="11" t="str">
        <f>Interview!F43</f>
        <v>Using ITC Hierarchical Storage Management (HSM)</v>
      </c>
      <c r="C66" s="28">
        <v>4</v>
      </c>
      <c r="G66" t="s">
        <v>73</v>
      </c>
    </row>
    <row r="67" spans="1:7" ht="30.75" customHeight="1">
      <c r="A67" s="18" t="str">
        <f>IF(Interview!E44="NO","X"," ")</f>
        <v>X</v>
      </c>
      <c r="B67" s="11" t="str">
        <f>Interview!F44</f>
        <v>Deposited in Cloud Storage</v>
      </c>
      <c r="C67" s="28">
        <v>4</v>
      </c>
      <c r="G67" t="s">
        <v>74</v>
      </c>
    </row>
    <row r="68" spans="1:7" ht="39" customHeight="1">
      <c r="A68" s="18" t="str">
        <f>IF(Interview!E45="NO","X"," ")</f>
        <v>X</v>
      </c>
      <c r="B68" s="11" t="str">
        <f>Interview!F45</f>
        <v>3 copies of data: 1 local, 1 on local server, 1 on remote server</v>
      </c>
      <c r="C68" s="28">
        <v>4</v>
      </c>
      <c r="G68" t="s">
        <v>75</v>
      </c>
    </row>
    <row r="69" spans="1:7" ht="33.75" customHeight="1">
      <c r="A69" s="18" t="str">
        <f>IF(Interview!E8="NO","X"," ")</f>
        <v>X</v>
      </c>
      <c r="B69" s="6" t="str">
        <f>Interview!F8</f>
        <v>DMP is being followed by all research team members.</v>
      </c>
      <c r="C69" s="25">
        <v>4</v>
      </c>
      <c r="D69" s="18">
        <v>3</v>
      </c>
      <c r="G69" s="1" t="s">
        <v>92</v>
      </c>
    </row>
    <row r="70" spans="1:7" ht="28.5" customHeight="1">
      <c r="A70" s="18" t="str">
        <f>IF(Interview!E30="NO","X"," ")</f>
        <v>X</v>
      </c>
      <c r="B70" s="6" t="str">
        <f>Interview!F30</f>
        <v>Use a research community metadata standard.</v>
      </c>
      <c r="C70" s="25">
        <v>4</v>
      </c>
      <c r="D70" s="18">
        <v>3</v>
      </c>
      <c r="G70" s="1" t="s">
        <v>93</v>
      </c>
    </row>
    <row r="71" spans="1:7" ht="47.25" customHeight="1">
      <c r="B71" s="4"/>
      <c r="C71" s="20"/>
    </row>
    <row r="72" spans="1:7" ht="51" customHeight="1">
      <c r="B72" s="6"/>
      <c r="C72" s="20"/>
    </row>
    <row r="73" spans="1:7" ht="48" customHeight="1">
      <c r="B73" s="6"/>
      <c r="C73" s="20"/>
    </row>
    <row r="74" spans="1:7" ht="48" customHeight="1">
      <c r="B74" s="6"/>
      <c r="C74" s="20"/>
    </row>
    <row r="75" spans="1:7">
      <c r="B75" s="4"/>
      <c r="C75" s="20"/>
    </row>
    <row r="76" spans="1:7" ht="29.25" customHeight="1">
      <c r="B76" s="6"/>
      <c r="C76" s="20"/>
    </row>
    <row r="77" spans="1:7" ht="30.75" customHeight="1">
      <c r="B77" s="4"/>
      <c r="C77" s="20"/>
    </row>
    <row r="78" spans="1:7" ht="30.75" customHeight="1">
      <c r="B78" s="6"/>
      <c r="C78" s="20"/>
    </row>
  </sheetData>
  <autoFilter ref="A24:A70">
    <filterColumn colId="0">
      <customFilters>
        <customFilter operator="notEqual" val=" "/>
      </customFilters>
    </filterColumn>
  </autoFilter>
  <sortState ref="A27:G82">
    <sortCondition ref="C27:C82"/>
  </sortState>
  <phoneticPr fontId="9" type="noConversion"/>
  <conditionalFormatting sqref="I26:J26">
    <cfRule type="cellIs" dxfId="11" priority="20" operator="greaterThanOrEqual">
      <formula>4</formula>
    </cfRule>
  </conditionalFormatting>
  <conditionalFormatting sqref="D11">
    <cfRule type="cellIs" dxfId="10" priority="2" operator="equal">
      <formula>"Optimizing"</formula>
    </cfRule>
    <cfRule type="cellIs" dxfId="9" priority="3" operator="equal">
      <formula>"Managed"</formula>
    </cfRule>
    <cfRule type="cellIs" dxfId="8" priority="4" operator="equal">
      <formula>"Defined"</formula>
    </cfRule>
    <cfRule type="cellIs" dxfId="7" priority="5" operator="equal">
      <formula>"Development"</formula>
    </cfRule>
    <cfRule type="cellIs" dxfId="6" priority="6" operator="equal">
      <formula>"Initial"</formula>
    </cfRule>
  </conditionalFormatting>
  <conditionalFormatting sqref="D4:D8">
    <cfRule type="cellIs" dxfId="5" priority="11" operator="equal">
      <formula>"Least Sustainable"</formula>
    </cfRule>
  </conditionalFormatting>
  <conditionalFormatting sqref="D4:D9">
    <cfRule type="cellIs" dxfId="4" priority="1" operator="equal">
      <formula>"Least Sustainable"</formula>
    </cfRule>
    <cfRule type="cellIs" dxfId="3" priority="7" operator="equal">
      <formula>"More Sustainable"</formula>
    </cfRule>
    <cfRule type="cellIs" dxfId="2" priority="8" operator="equal">
      <formula>"Good"</formula>
    </cfRule>
    <cfRule type="cellIs" dxfId="1" priority="9" operator="equal">
      <formula>"Satisfactory"</formula>
    </cfRule>
    <cfRule type="cellIs" dxfId="0" priority="10" operator="equal">
      <formula>"Fair"</formula>
    </cfRule>
  </conditionalFormatting>
  <pageMargins left="0.7" right="0.7" top="0.75" bottom="0.75" header="0.3" footer="0.3"/>
  <pageSetup paperSize="125" orientation="portrait" horizontalDpi="300" verticalDpi="300"/>
  <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tabColor theme="7" tint="-0.249977111117893"/>
  </sheetPr>
  <dimension ref="A1:M40"/>
  <sheetViews>
    <sheetView zoomScale="70" zoomScaleNormal="70" zoomScalePageLayoutView="70" workbookViewId="0">
      <selection activeCell="M5" sqref="M5"/>
    </sheetView>
  </sheetViews>
  <sheetFormatPr baseColWidth="10" defaultColWidth="9.1640625" defaultRowHeight="14" x14ac:dyDescent="0"/>
  <cols>
    <col min="1" max="1" width="13" style="21" customWidth="1"/>
    <col min="2" max="2" width="29.33203125" style="8" customWidth="1"/>
    <col min="3" max="3" width="9.5" style="8" customWidth="1"/>
    <col min="4" max="4" width="25.5" style="8" customWidth="1"/>
    <col min="5" max="5" width="11.83203125" style="24" customWidth="1"/>
    <col min="6" max="6" width="23.5" style="8" customWidth="1"/>
    <col min="7" max="7" width="10.1640625" style="21" customWidth="1"/>
    <col min="8" max="8" width="26" style="8" customWidth="1"/>
    <col min="9" max="9" width="9.5" style="24" customWidth="1"/>
    <col min="10" max="10" width="27.5" style="8" customWidth="1"/>
    <col min="11" max="11" width="9.1640625" style="8"/>
    <col min="12" max="12" width="10.5" style="8" customWidth="1"/>
    <col min="13" max="13" width="12.5" style="8" customWidth="1"/>
    <col min="14" max="16384" width="9.1640625" style="8"/>
  </cols>
  <sheetData>
    <row r="1" spans="1:13" s="101" customFormat="1" ht="20.25" customHeight="1">
      <c r="A1" s="139" t="s">
        <v>154</v>
      </c>
      <c r="B1" s="140"/>
      <c r="C1" s="135" t="s">
        <v>155</v>
      </c>
      <c r="D1" s="136"/>
      <c r="E1" s="141" t="s">
        <v>156</v>
      </c>
      <c r="F1" s="142"/>
      <c r="G1" s="143" t="s">
        <v>157</v>
      </c>
      <c r="H1" s="144"/>
      <c r="I1" s="137" t="s">
        <v>158</v>
      </c>
      <c r="J1" s="138"/>
    </row>
    <row r="2" spans="1:13" ht="67.5" customHeight="1">
      <c r="A2" s="75"/>
      <c r="B2" s="7"/>
      <c r="C2" s="13"/>
      <c r="D2" s="7"/>
      <c r="E2" s="83" t="str">
        <f>Interview!$A$8</f>
        <v>NO</v>
      </c>
      <c r="F2" s="84" t="str">
        <f>Interview!B8</f>
        <v>Software agnostic file formats used</v>
      </c>
      <c r="G2" s="85" t="str">
        <f>Interview!$A$10</f>
        <v>NO</v>
      </c>
      <c r="H2" s="84" t="str">
        <f>Interview!B10</f>
        <v>Common software or filetype used by the research community (may be proprietary)</v>
      </c>
      <c r="I2" s="22"/>
      <c r="J2" s="6"/>
    </row>
    <row r="3" spans="1:13" ht="57.75" customHeight="1">
      <c r="A3" s="74"/>
      <c r="C3" s="2"/>
      <c r="D3" s="9"/>
      <c r="E3" s="86" t="str">
        <f>Interview!$A$9</f>
        <v>NO</v>
      </c>
      <c r="F3" s="84" t="str">
        <f>Interview!B9</f>
        <v>Open standard representation (ASCII, Unicode, CSV, txt)</v>
      </c>
      <c r="G3" s="25"/>
      <c r="H3" s="3"/>
      <c r="I3" s="22"/>
      <c r="J3" s="6"/>
      <c r="L3" s="50" t="s">
        <v>159</v>
      </c>
      <c r="M3" s="50">
        <f>K15</f>
        <v>0</v>
      </c>
    </row>
    <row r="4" spans="1:13" ht="42.75" customHeight="1">
      <c r="A4" s="81" t="str">
        <f>Interview!$A$7</f>
        <v>NO</v>
      </c>
      <c r="B4" s="82" t="str">
        <f>Interview!B7</f>
        <v>Avoids proprietary software file types</v>
      </c>
      <c r="E4" s="23"/>
      <c r="F4" s="5"/>
      <c r="G4" s="25"/>
      <c r="H4" s="3"/>
      <c r="L4" s="50" t="s">
        <v>99</v>
      </c>
      <c r="M4" s="50">
        <f>K17</f>
        <v>13</v>
      </c>
    </row>
    <row r="5" spans="1:13" ht="54" customHeight="1" thickBot="1">
      <c r="A5" s="81" t="str">
        <f>Interview!$I$4</f>
        <v>NO</v>
      </c>
      <c r="B5" s="82" t="str">
        <f>Interview!J4</f>
        <v>All file formats or data types are current</v>
      </c>
      <c r="E5" s="23"/>
      <c r="F5" s="5"/>
      <c r="L5" s="60" t="s">
        <v>153</v>
      </c>
      <c r="M5" s="60">
        <f>ROUND(M3/M4*100,0)</f>
        <v>0</v>
      </c>
    </row>
    <row r="6" spans="1:13" ht="47.25" customHeight="1" thickTop="1">
      <c r="A6" s="81" t="str">
        <f>Interview!$I$6</f>
        <v>NO</v>
      </c>
      <c r="B6" s="82" t="str">
        <f>Interview!J6</f>
        <v>Up-to-date data formats</v>
      </c>
      <c r="E6" s="23"/>
      <c r="F6" s="5"/>
    </row>
    <row r="7" spans="1:13">
      <c r="A7" s="76"/>
      <c r="B7" s="5"/>
      <c r="C7" s="5"/>
      <c r="D7" s="5"/>
    </row>
    <row r="8" spans="1:13">
      <c r="A8" s="76"/>
      <c r="B8" s="5"/>
      <c r="C8" s="5"/>
      <c r="D8" s="5"/>
    </row>
    <row r="9" spans="1:13">
      <c r="A9" s="74"/>
    </row>
    <row r="10" spans="1:13">
      <c r="A10" s="74"/>
    </row>
    <row r="11" spans="1:13">
      <c r="A11" s="74"/>
    </row>
    <row r="12" spans="1:13" ht="15" customHeight="1">
      <c r="A12" s="74"/>
    </row>
    <row r="13" spans="1:13">
      <c r="A13" s="74"/>
    </row>
    <row r="14" spans="1:13">
      <c r="A14" s="74"/>
    </row>
    <row r="15" spans="1:13">
      <c r="A15" s="77">
        <f>COUNTIF(A2:A13,"YES")*1</f>
        <v>0</v>
      </c>
      <c r="B15" s="56" t="s">
        <v>149</v>
      </c>
      <c r="C15" s="62">
        <f>COUNTIF(C2:C13,"YES")*2</f>
        <v>0</v>
      </c>
      <c r="D15" s="56" t="s">
        <v>149</v>
      </c>
      <c r="E15" s="62">
        <f>COUNTIF(E2:E13,"YES")*3</f>
        <v>0</v>
      </c>
      <c r="F15" s="56" t="s">
        <v>149</v>
      </c>
      <c r="G15" s="62">
        <f>COUNTIF(G2:G13,"YES")*4</f>
        <v>0</v>
      </c>
      <c r="H15" s="56" t="s">
        <v>149</v>
      </c>
      <c r="I15" s="62">
        <f>COUNTIF(I2:I13,"YES")*5</f>
        <v>0</v>
      </c>
      <c r="J15" s="56" t="s">
        <v>149</v>
      </c>
      <c r="K15" s="56">
        <f>SUM(A15:J15)</f>
        <v>0</v>
      </c>
      <c r="L15" s="56" t="s">
        <v>82</v>
      </c>
    </row>
    <row r="16" spans="1:13">
      <c r="A16" s="74"/>
    </row>
    <row r="17" spans="1:12" ht="28">
      <c r="A17" s="74">
        <f>(COUNTIF(A2:A13, "&lt;&gt;")*1)-(COUNTIF(A2:A13,"NULL")*1)</f>
        <v>3</v>
      </c>
      <c r="B17" s="8" t="s">
        <v>137</v>
      </c>
      <c r="C17" s="74">
        <f>(COUNTIF(C2:C13, "&lt;&gt;")*2)-(COUNTIF(C2:C13,"NULL")*2)</f>
        <v>0</v>
      </c>
      <c r="D17" s="8" t="s">
        <v>137</v>
      </c>
      <c r="E17" s="74">
        <f>(COUNTIF(E2:E13, "&lt;&gt;")*3)-(COUNTIF(E2:E13,"NULL")*3)</f>
        <v>6</v>
      </c>
      <c r="F17" s="8" t="s">
        <v>137</v>
      </c>
      <c r="G17" s="74">
        <f>(COUNTIF(G2:G13, "&lt;&gt;")*4)-(COUNTIF(G2:G13,"NULL")*4)</f>
        <v>4</v>
      </c>
      <c r="H17" s="8" t="s">
        <v>137</v>
      </c>
      <c r="I17" s="74">
        <f>(COUNTIF(I2:I13, "&lt;&gt;")*5)-(COUNTIF(I2:I13,"NULL")*5)</f>
        <v>0</v>
      </c>
      <c r="J17" s="8" t="s">
        <v>137</v>
      </c>
      <c r="K17" s="8">
        <f>SUM(A17,C17, E17,G17,I17)</f>
        <v>13</v>
      </c>
      <c r="L17" s="8" t="s">
        <v>137</v>
      </c>
    </row>
    <row r="18" spans="1:12">
      <c r="A18" s="74"/>
    </row>
    <row r="19" spans="1:12" ht="15" customHeight="1">
      <c r="A19" s="74"/>
    </row>
    <row r="20" spans="1:12" ht="15" customHeight="1">
      <c r="A20" s="74"/>
    </row>
    <row r="21" spans="1:12">
      <c r="A21" s="74"/>
    </row>
    <row r="22" spans="1:12">
      <c r="A22" s="74"/>
    </row>
    <row r="23" spans="1:12">
      <c r="A23" s="74"/>
    </row>
    <row r="24" spans="1:12" ht="15" customHeight="1">
      <c r="A24" s="74"/>
    </row>
    <row r="25" spans="1:12">
      <c r="A25" s="74"/>
    </row>
    <row r="26" spans="1:12">
      <c r="A26" s="74"/>
    </row>
    <row r="27" spans="1:12">
      <c r="A27" s="74"/>
    </row>
    <row r="31" spans="1:12" ht="15" customHeight="1"/>
    <row r="40" ht="31.5" customHeight="1"/>
  </sheetData>
  <dataConsolidate/>
  <mergeCells count="5">
    <mergeCell ref="C1:D1"/>
    <mergeCell ref="I1:J1"/>
    <mergeCell ref="A1:B1"/>
    <mergeCell ref="E1:F1"/>
    <mergeCell ref="G1:H1"/>
  </mergeCells>
  <phoneticPr fontId="9" type="noConversion"/>
  <dataValidations count="1">
    <dataValidation type="list" allowBlank="1" showInputMessage="1" showErrorMessage="1" sqref="A2">
      <formula1>$AB$3:$AB$4</formula1>
    </dataValidation>
  </dataValidations>
  <pageMargins left="0.7" right="0.7" top="0.75" bottom="0.75" header="0.3" footer="0.3"/>
  <pageSetup orientation="portrai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5" tint="-0.249977111117893"/>
  </sheetPr>
  <dimension ref="A1:M17"/>
  <sheetViews>
    <sheetView topLeftCell="A2" zoomScale="86" zoomScaleNormal="86" zoomScalePageLayoutView="86" workbookViewId="0">
      <selection activeCell="D7" sqref="D7"/>
    </sheetView>
  </sheetViews>
  <sheetFormatPr baseColWidth="10" defaultColWidth="8.83203125" defaultRowHeight="14" x14ac:dyDescent="0"/>
  <cols>
    <col min="1" max="1" width="8.83203125" style="19"/>
    <col min="2" max="2" width="28.5" customWidth="1"/>
    <col min="3" max="3" width="8.83203125" style="19"/>
    <col min="4" max="4" width="25.5" customWidth="1"/>
    <col min="6" max="6" width="28" customWidth="1"/>
    <col min="7" max="7" width="8.83203125" style="19"/>
    <col min="8" max="8" width="21.1640625" customWidth="1"/>
    <col min="9" max="9" width="8.83203125" style="19"/>
    <col min="10" max="10" width="20.5" customWidth="1"/>
    <col min="12" max="12" width="10" style="1" customWidth="1"/>
  </cols>
  <sheetData>
    <row r="1" spans="1:13" s="102" customFormat="1" ht="21.75" customHeight="1">
      <c r="A1" s="139" t="s">
        <v>154</v>
      </c>
      <c r="B1" s="140"/>
      <c r="C1" s="135" t="s">
        <v>155</v>
      </c>
      <c r="D1" s="136"/>
      <c r="E1" s="141" t="s">
        <v>156</v>
      </c>
      <c r="F1" s="142"/>
      <c r="G1" s="143" t="s">
        <v>157</v>
      </c>
      <c r="H1" s="144"/>
      <c r="I1" s="137" t="s">
        <v>158</v>
      </c>
      <c r="J1" s="138"/>
      <c r="L1" s="103"/>
    </row>
    <row r="2" spans="1:13" ht="45">
      <c r="A2" s="108"/>
      <c r="B2" s="109"/>
      <c r="C2" s="110" t="str">
        <f>Interview!$E$14</f>
        <v>NO</v>
      </c>
      <c r="D2" s="111" t="str">
        <f>Interview!F14</f>
        <v>Using a consistent file structure</v>
      </c>
      <c r="E2" s="112"/>
      <c r="F2" s="112"/>
      <c r="G2" s="113"/>
      <c r="H2" s="114"/>
      <c r="I2" s="115" t="str">
        <f>Interview!$G$7</f>
        <v>NO</v>
      </c>
      <c r="J2" s="116" t="str">
        <f>Interview!H7</f>
        <v>Record every change to a file, no matter how small (Log files)</v>
      </c>
    </row>
    <row r="3" spans="1:13" ht="45.75" customHeight="1">
      <c r="A3" s="108"/>
      <c r="B3" s="109"/>
      <c r="C3" s="115" t="str">
        <f>Interview!$E$10</f>
        <v>NO</v>
      </c>
      <c r="D3" s="111" t="str">
        <f>Interview!F10</f>
        <v>Using file naming conventions</v>
      </c>
      <c r="E3" s="117"/>
      <c r="F3" s="118"/>
      <c r="G3" s="110" t="str">
        <f>Interview!$E$11</f>
        <v>NO</v>
      </c>
      <c r="H3" s="111" t="str">
        <f>Interview!F11</f>
        <v>Using file naming conventions for specific disciplines</v>
      </c>
      <c r="I3" s="119" t="str">
        <f>Interview!$G$8</f>
        <v>NO</v>
      </c>
      <c r="J3" s="116" t="str">
        <f>Interview!H8</f>
        <v>Uses File Version Control (perhaps SVN)</v>
      </c>
      <c r="L3" s="50" t="s">
        <v>159</v>
      </c>
      <c r="M3" s="51">
        <f>K15</f>
        <v>0</v>
      </c>
    </row>
    <row r="4" spans="1:13" ht="30">
      <c r="A4" s="115" t="str">
        <f>Interview!$G$6</f>
        <v>NO</v>
      </c>
      <c r="B4" s="120" t="str">
        <f>Interview!H6</f>
        <v>File changes are recorded</v>
      </c>
      <c r="C4" s="108"/>
      <c r="D4" s="109"/>
      <c r="E4" s="117"/>
      <c r="F4" s="118"/>
      <c r="G4" s="115" t="str">
        <f>Interview!$G$9</f>
        <v>NO</v>
      </c>
      <c r="H4" s="116" t="str">
        <f>Interview!H9</f>
        <v>Making original document “read only”</v>
      </c>
      <c r="I4" s="119" t="str">
        <f>Interview!$E$15</f>
        <v>NO</v>
      </c>
      <c r="J4" s="116" t="str">
        <f>Interview!F15</f>
        <v>Use Same Structure for Backups</v>
      </c>
      <c r="L4" s="50" t="s">
        <v>99</v>
      </c>
      <c r="M4" s="51">
        <f>K17</f>
        <v>30</v>
      </c>
    </row>
    <row r="5" spans="1:13" ht="27" customHeight="1" thickBot="1">
      <c r="A5" s="115" t="str">
        <f>Interview!$G$5</f>
        <v>NO</v>
      </c>
      <c r="B5" s="120" t="str">
        <f>Interview!H5</f>
        <v>Versions are managed</v>
      </c>
      <c r="C5" s="108"/>
      <c r="D5" s="109"/>
      <c r="E5" s="117"/>
      <c r="F5" s="118"/>
      <c r="G5" s="113"/>
      <c r="H5" s="114"/>
      <c r="I5" s="121"/>
      <c r="J5" s="122"/>
      <c r="L5" s="60" t="s">
        <v>153</v>
      </c>
      <c r="M5" s="61">
        <f>ROUND(M3/M4*100,0)</f>
        <v>0</v>
      </c>
    </row>
    <row r="6" spans="1:13" ht="33" customHeight="1" thickTop="1">
      <c r="A6" s="123"/>
      <c r="B6" s="112"/>
      <c r="C6" s="123"/>
      <c r="D6" s="124"/>
      <c r="E6" s="117"/>
      <c r="F6" s="118"/>
      <c r="G6" s="113"/>
      <c r="H6" s="117"/>
      <c r="I6" s="121"/>
      <c r="J6" s="122"/>
    </row>
    <row r="7" spans="1:13" ht="40.5" customHeight="1">
      <c r="A7" s="115" t="str">
        <f>Interview!$E$13</f>
        <v>NO</v>
      </c>
      <c r="B7" s="120" t="str">
        <f>Interview!F13</f>
        <v>Files are organized and can be found</v>
      </c>
      <c r="C7" s="108"/>
      <c r="D7" s="109"/>
      <c r="E7" s="125"/>
      <c r="F7" s="118"/>
      <c r="G7" s="113"/>
      <c r="H7" s="117"/>
      <c r="I7" s="108"/>
      <c r="J7" s="109"/>
    </row>
    <row r="8" spans="1:13">
      <c r="A8" s="27"/>
      <c r="B8" s="5"/>
      <c r="C8" s="23"/>
      <c r="D8" s="5"/>
      <c r="E8" s="5"/>
      <c r="F8" s="10"/>
    </row>
    <row r="9" spans="1:13">
      <c r="A9" s="27"/>
      <c r="B9" s="5"/>
      <c r="C9" s="23"/>
      <c r="D9" s="5"/>
    </row>
    <row r="10" spans="1:13">
      <c r="A10" s="27"/>
      <c r="B10" s="5"/>
      <c r="C10" s="23"/>
      <c r="D10" s="5"/>
    </row>
    <row r="15" spans="1:13">
      <c r="A15" s="58">
        <f>COUNTIF(A2:A13,"YES")*1</f>
        <v>0</v>
      </c>
      <c r="B15" s="57" t="s">
        <v>149</v>
      </c>
      <c r="C15" s="58">
        <f>COUNTIF(C2:C13,"YES")*2</f>
        <v>0</v>
      </c>
      <c r="D15" s="57" t="s">
        <v>149</v>
      </c>
      <c r="E15" s="57">
        <f>COUNTIF(E2:E13,"YES")*3</f>
        <v>0</v>
      </c>
      <c r="F15" s="57" t="s">
        <v>149</v>
      </c>
      <c r="G15" s="58">
        <f>COUNTIF(G2:G13,"YES")*4</f>
        <v>0</v>
      </c>
      <c r="H15" s="57" t="s">
        <v>149</v>
      </c>
      <c r="I15" s="58">
        <f>COUNTIF(I2:I13,"YES")*5</f>
        <v>0</v>
      </c>
      <c r="J15" s="57" t="s">
        <v>149</v>
      </c>
      <c r="K15" s="57">
        <f>SUM(A15:J15)</f>
        <v>0</v>
      </c>
      <c r="L15" s="56" t="s">
        <v>82</v>
      </c>
    </row>
    <row r="16" spans="1:13">
      <c r="A16" s="33"/>
      <c r="B16" s="15"/>
      <c r="C16" s="33"/>
      <c r="D16" s="15"/>
      <c r="E16" s="15"/>
      <c r="F16" s="15"/>
      <c r="G16" s="33"/>
      <c r="H16" s="15"/>
      <c r="I16" s="33"/>
      <c r="J16" s="15"/>
      <c r="K16" s="15"/>
    </row>
    <row r="17" spans="1:12">
      <c r="A17" s="21">
        <f>(COUNTIF(A2:A13,"&lt;&gt;")*1)-(COUNTIF(A2:A13,"NULL")*1)</f>
        <v>3</v>
      </c>
      <c r="B17" s="8" t="s">
        <v>137</v>
      </c>
      <c r="C17" s="21">
        <f>(COUNTIF(C2:C13,"&lt;&gt;")*2)-(COUNTIF(C2:C13,"NULL")*2)</f>
        <v>4</v>
      </c>
      <c r="D17" s="8" t="s">
        <v>137</v>
      </c>
      <c r="E17" s="21">
        <f>(COUNTIF(E2:E13,"&lt;&gt;")*3)-(COUNTIF(E2:E13,"NULL")*3)</f>
        <v>0</v>
      </c>
      <c r="F17" s="8" t="s">
        <v>137</v>
      </c>
      <c r="G17" s="21">
        <f>(COUNTIF(G2:G13,"&lt;&gt;")*4)-(COUNTIF(G2:G13,"NULL")*4)</f>
        <v>8</v>
      </c>
      <c r="H17" s="8" t="s">
        <v>137</v>
      </c>
      <c r="I17" s="21">
        <f>(COUNTIF(I2:I13,"&lt;&gt;")*5)-(COUNTIF(I2:I13,"NULL")*5)</f>
        <v>15</v>
      </c>
      <c r="J17" s="8" t="s">
        <v>137</v>
      </c>
      <c r="K17" s="8">
        <f>SUM(A17,C17, E17,G17,I17)</f>
        <v>30</v>
      </c>
      <c r="L17" s="8" t="s">
        <v>140</v>
      </c>
    </row>
  </sheetData>
  <mergeCells count="5">
    <mergeCell ref="A1:B1"/>
    <mergeCell ref="C1:D1"/>
    <mergeCell ref="E1:F1"/>
    <mergeCell ref="G1:H1"/>
    <mergeCell ref="I1:J1"/>
  </mergeCells>
  <phoneticPr fontId="9" type="noConversion"/>
  <dataValidations count="1">
    <dataValidation type="list" allowBlank="1" showInputMessage="1" showErrorMessage="1" sqref="G4">
      <formula1>$N$4:$N$6</formula1>
    </dataValidation>
  </dataValidations>
  <pageMargins left="0.7" right="0.7" top="0.75" bottom="0.75" header="0.3" footer="0.3"/>
  <pageSetup paperSize="125" orientation="portrait" horizontalDpi="300" verticalDpi="300"/>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rgb="FFFFFF00"/>
  </sheetPr>
  <dimension ref="A1:M40"/>
  <sheetViews>
    <sheetView zoomScale="80" zoomScaleNormal="80" zoomScalePageLayoutView="80" workbookViewId="0">
      <selection activeCell="M5" sqref="M5"/>
    </sheetView>
  </sheetViews>
  <sheetFormatPr baseColWidth="10" defaultColWidth="9.1640625" defaultRowHeight="14" x14ac:dyDescent="0"/>
  <cols>
    <col min="1" max="1" width="18.1640625" style="24" customWidth="1"/>
    <col min="2" max="2" width="18.1640625" style="8" customWidth="1"/>
    <col min="3" max="3" width="15.5" style="8" customWidth="1"/>
    <col min="4" max="4" width="24.6640625" style="8" customWidth="1"/>
    <col min="5" max="5" width="8.5" style="21" customWidth="1"/>
    <col min="6" max="6" width="21.83203125" style="8" customWidth="1"/>
    <col min="7" max="7" width="14" style="24" customWidth="1"/>
    <col min="8" max="8" width="21.33203125" style="8" customWidth="1"/>
    <col min="9" max="9" width="9.1640625" style="24"/>
    <col min="10" max="10" width="24" style="8" customWidth="1"/>
    <col min="11" max="11" width="9.1640625" style="8"/>
    <col min="12" max="12" width="11.33203125" style="8" customWidth="1"/>
    <col min="13" max="16384" width="9.1640625" style="8"/>
  </cols>
  <sheetData>
    <row r="1" spans="1:13" ht="19.5" customHeight="1">
      <c r="A1" s="145" t="s">
        <v>154</v>
      </c>
      <c r="B1" s="146"/>
      <c r="C1" s="147" t="s">
        <v>155</v>
      </c>
      <c r="D1" s="148"/>
      <c r="E1" s="149" t="s">
        <v>156</v>
      </c>
      <c r="F1" s="150"/>
      <c r="G1" s="151" t="s">
        <v>157</v>
      </c>
      <c r="H1" s="152"/>
      <c r="I1" s="153" t="s">
        <v>158</v>
      </c>
      <c r="J1" s="154"/>
    </row>
    <row r="2" spans="1:13" ht="33" customHeight="1">
      <c r="A2" s="30"/>
      <c r="B2" s="7"/>
      <c r="C2" s="10"/>
      <c r="D2" s="7"/>
      <c r="E2" s="28"/>
      <c r="F2" s="13" t="s">
        <v>2</v>
      </c>
      <c r="G2" s="29"/>
      <c r="H2" s="13"/>
      <c r="I2" s="29"/>
      <c r="J2" s="13" t="s">
        <v>4</v>
      </c>
    </row>
    <row r="3" spans="1:13" ht="99.75" customHeight="1">
      <c r="A3" s="30"/>
      <c r="B3" s="7"/>
      <c r="C3" s="10"/>
      <c r="D3" s="13"/>
      <c r="E3" s="64" t="str">
        <f>Interview!$E$34</f>
        <v>NO</v>
      </c>
      <c r="F3" s="65" t="str">
        <f>Interview!F34</f>
        <v>Data is stored on hard-drives or network attached storage (NAS)</v>
      </c>
      <c r="G3" s="29"/>
      <c r="H3" s="13" t="s">
        <v>4</v>
      </c>
      <c r="I3" s="66" t="str">
        <f>Interview!K12</f>
        <v>NO</v>
      </c>
      <c r="J3" s="127" t="str">
        <f>Interview!L12</f>
        <v>Faculty/staff who administer sensitive data are following appropriate federal, state, grant agency, or university regulations for protecting and backing up data.</v>
      </c>
      <c r="L3" s="50" t="s">
        <v>159</v>
      </c>
      <c r="M3" s="50">
        <f>K15</f>
        <v>0</v>
      </c>
    </row>
    <row r="4" spans="1:13" ht="81" customHeight="1">
      <c r="A4" s="88"/>
      <c r="B4" s="89" t="s">
        <v>1</v>
      </c>
      <c r="C4" s="88"/>
      <c r="D4" s="89" t="s">
        <v>2</v>
      </c>
      <c r="E4" s="28"/>
      <c r="F4" s="13"/>
      <c r="G4" s="66" t="str">
        <f>Interview!K10</f>
        <v>NO</v>
      </c>
      <c r="H4" s="126" t="str">
        <f>Interview!L10</f>
        <v>Encryption is always used when storing and transferring sensitive data.</v>
      </c>
      <c r="I4" s="66" t="str">
        <f>Interview!K13</f>
        <v>NO</v>
      </c>
      <c r="J4" s="127" t="str">
        <f>Interview!L13</f>
        <v xml:space="preserve">Cryptology technologies for data storage and transmission of data are based upon open standards. </v>
      </c>
      <c r="L4" s="50" t="s">
        <v>99</v>
      </c>
      <c r="M4" s="50">
        <f>K17</f>
        <v>72</v>
      </c>
    </row>
    <row r="5" spans="1:13" ht="60.75" customHeight="1" thickBot="1">
      <c r="A5" s="105" t="str">
        <f>Interview!K6</f>
        <v>NO</v>
      </c>
      <c r="B5" s="65" t="str">
        <f>Interview!L6</f>
        <v>Data stored securely</v>
      </c>
      <c r="C5" s="66" t="str">
        <f>Interview!$I$8</f>
        <v>NO</v>
      </c>
      <c r="D5" s="128" t="str">
        <f>Interview!J8</f>
        <v>Data stored on readable media</v>
      </c>
      <c r="E5" s="29"/>
      <c r="F5" s="11"/>
      <c r="G5" s="66" t="str">
        <f>Interview!K11</f>
        <v>NO</v>
      </c>
      <c r="H5" s="127" t="str">
        <f>Interview!L11</f>
        <v>Follows UVa’s “Electronic Data Removal” policy</v>
      </c>
      <c r="I5" s="29"/>
      <c r="J5" s="13" t="s">
        <v>2</v>
      </c>
      <c r="L5" s="60" t="s">
        <v>153</v>
      </c>
      <c r="M5" s="60">
        <f>ROUND(M3/M4*100,0)</f>
        <v>0</v>
      </c>
    </row>
    <row r="6" spans="1:13" ht="101.25" customHeight="1" thickTop="1">
      <c r="A6" s="105" t="str">
        <f>Interview!K7</f>
        <v>NO</v>
      </c>
      <c r="B6" s="65" t="str">
        <f>Interview!L7</f>
        <v>Encrypted sensitive data</v>
      </c>
      <c r="E6" s="28"/>
      <c r="F6" s="7"/>
      <c r="G6" s="29"/>
      <c r="H6" s="11"/>
      <c r="I6" s="66" t="str">
        <f>Interview!$E$36</f>
        <v>NO</v>
      </c>
      <c r="J6" s="65" t="str">
        <f>Interview!F36</f>
        <v>Have storage media in appropriate environmental conditions</v>
      </c>
    </row>
    <row r="7" spans="1:13" ht="72" customHeight="1">
      <c r="A7" s="105" t="str">
        <f>Interview!K8</f>
        <v>NO</v>
      </c>
      <c r="B7" s="65" t="str">
        <f>Interview!L8</f>
        <v>Data is de-identified</v>
      </c>
      <c r="E7" s="28"/>
      <c r="F7" s="7"/>
      <c r="G7" s="29"/>
      <c r="H7" s="13" t="s">
        <v>2</v>
      </c>
      <c r="I7" s="66" t="str">
        <f>Interview!$E$37</f>
        <v>NO</v>
      </c>
      <c r="J7" s="65" t="str">
        <f>Interview!F37</f>
        <v>Have data stored in physically secured environment</v>
      </c>
    </row>
    <row r="8" spans="1:13" ht="81.75" customHeight="1">
      <c r="A8" s="106" t="str">
        <f>Interview!K9</f>
        <v>NO</v>
      </c>
      <c r="B8" s="107" t="str">
        <f>Interview!L9</f>
        <v>Following regulations for protecting and backing up data</v>
      </c>
      <c r="E8" s="31"/>
      <c r="F8" s="16"/>
      <c r="G8" s="66" t="str">
        <f>Interview!$E$35</f>
        <v>NO</v>
      </c>
      <c r="H8" s="65" t="str">
        <f>Interview!F35</f>
        <v>Data is stored on their home directory or Uva Collab (temporary)</v>
      </c>
      <c r="I8" s="29"/>
      <c r="J8" s="13" t="s">
        <v>3</v>
      </c>
    </row>
    <row r="9" spans="1:13" ht="42">
      <c r="A9" s="88"/>
      <c r="B9" s="89" t="s">
        <v>2</v>
      </c>
      <c r="E9" s="31"/>
      <c r="F9" s="16"/>
      <c r="G9" s="29"/>
      <c r="H9" s="11"/>
      <c r="I9" s="66" t="str">
        <f>Interview!$E$41</f>
        <v>NO</v>
      </c>
      <c r="J9" s="127" t="str">
        <f>Interview!F41</f>
        <v>Backups are being formally administered (on a regular schedule)</v>
      </c>
    </row>
    <row r="10" spans="1:13" ht="28">
      <c r="A10" s="64" t="str">
        <f>Interview!$E$33</f>
        <v>NO</v>
      </c>
      <c r="B10" s="65" t="str">
        <f>Interview!F33</f>
        <v>Data stored on CDs or DVDs</v>
      </c>
      <c r="E10" s="31"/>
      <c r="F10" s="16"/>
      <c r="G10" s="29"/>
      <c r="H10" s="13" t="s">
        <v>3</v>
      </c>
      <c r="I10" s="66" t="str">
        <f>Interview!$E$42</f>
        <v>NO</v>
      </c>
      <c r="J10" s="127" t="str">
        <f>Interview!F42</f>
        <v>Data is deposited in a subject archive (repository)</v>
      </c>
    </row>
    <row r="11" spans="1:13" ht="42">
      <c r="A11" s="91"/>
      <c r="B11" s="92"/>
      <c r="E11" s="31"/>
      <c r="F11" s="16"/>
      <c r="G11" s="67" t="str">
        <f>Interview!$E$40</f>
        <v>NO</v>
      </c>
      <c r="H11" s="127" t="str">
        <f>Interview!F40</f>
        <v>Adhering to ITC recommended backup cycles with off-site storage</v>
      </c>
      <c r="I11" s="66" t="str">
        <f>Interview!$E$43</f>
        <v>NO</v>
      </c>
      <c r="J11" s="127" t="str">
        <f>Interview!F43</f>
        <v>Using ITC Hierarchical Storage Management (HSM)</v>
      </c>
    </row>
    <row r="12" spans="1:13" ht="48.75" customHeight="1">
      <c r="A12" s="90"/>
      <c r="B12" s="89" t="s">
        <v>3</v>
      </c>
      <c r="E12" s="31"/>
      <c r="F12" s="16"/>
      <c r="G12" s="29"/>
      <c r="H12" s="12"/>
      <c r="I12" s="66" t="str">
        <f>Interview!$E$44</f>
        <v>NO</v>
      </c>
      <c r="J12" s="127" t="str">
        <f>Interview!F44</f>
        <v>Deposited in Cloud Storage</v>
      </c>
    </row>
    <row r="13" spans="1:13" ht="49.5" customHeight="1">
      <c r="A13" s="66" t="str">
        <f>Interview!$E$39</f>
        <v>NO</v>
      </c>
      <c r="B13" s="65" t="str">
        <f>Interview!F39</f>
        <v>Doing backups (basic)</v>
      </c>
      <c r="E13" s="31"/>
      <c r="F13" s="16"/>
      <c r="G13" s="29"/>
      <c r="H13" s="12"/>
      <c r="I13" s="66" t="str">
        <f>Interview!$E$45</f>
        <v>NO</v>
      </c>
      <c r="J13" s="127" t="str">
        <f>Interview!F45</f>
        <v>3 copies of data: 1 local, 1 on local server, 1 on remote server</v>
      </c>
    </row>
    <row r="14" spans="1:13" ht="77.25" customHeight="1">
      <c r="E14" s="31"/>
      <c r="F14" s="16"/>
      <c r="G14" s="29"/>
      <c r="H14" s="12"/>
      <c r="I14" s="32"/>
      <c r="J14" s="16"/>
    </row>
    <row r="15" spans="1:13" ht="24.75" customHeight="1">
      <c r="A15" s="52">
        <f>COUNTIF(A2:A13,"YES")*1</f>
        <v>0</v>
      </c>
      <c r="B15" s="53" t="s">
        <v>149</v>
      </c>
      <c r="C15" s="53">
        <f>COUNTIF(C3:C13,"YES")*2</f>
        <v>0</v>
      </c>
      <c r="D15" s="53" t="s">
        <v>149</v>
      </c>
      <c r="E15" s="54">
        <f>COUNTIF(E3:E13,"YES")*3</f>
        <v>0</v>
      </c>
      <c r="F15" s="53" t="s">
        <v>149</v>
      </c>
      <c r="G15" s="52">
        <f>COUNTIF(G3:G13,"YES")*4</f>
        <v>0</v>
      </c>
      <c r="H15" s="53" t="s">
        <v>149</v>
      </c>
      <c r="I15" s="55">
        <f>COUNTIF(I3:I13,"YES")*5</f>
        <v>0</v>
      </c>
      <c r="J15" s="56" t="s">
        <v>149</v>
      </c>
      <c r="K15" s="56">
        <f>SUM(A15:J15)</f>
        <v>0</v>
      </c>
      <c r="L15" s="56" t="s">
        <v>82</v>
      </c>
    </row>
    <row r="16" spans="1:13">
      <c r="A16" s="23"/>
      <c r="B16" s="5"/>
      <c r="C16" s="5"/>
      <c r="D16" s="5"/>
      <c r="E16" s="25"/>
      <c r="F16" s="5"/>
    </row>
    <row r="17" spans="1:12">
      <c r="A17" s="21">
        <f>(COUNTIF(A2:A13, "&lt;&gt;")*1)-(COUNTIF(A2:A13,"NULL")*1)</f>
        <v>6</v>
      </c>
      <c r="B17" s="8" t="s">
        <v>137</v>
      </c>
      <c r="C17" s="21">
        <f>(COUNTIF(C2:C13, "&lt;&gt;")*2)-(COUNTIF(C2:C13,"NULL")*2)</f>
        <v>2</v>
      </c>
      <c r="D17" s="8" t="s">
        <v>137</v>
      </c>
      <c r="E17" s="21">
        <f>(COUNTIF(E2:E13, "&lt;&gt;")*3)-(COUNTIF(E2:E13,"NULL")*3)</f>
        <v>3</v>
      </c>
      <c r="F17" s="8" t="s">
        <v>137</v>
      </c>
      <c r="G17" s="21">
        <f>(COUNTIF(G2:G13, "&lt;&gt;")*4)-(COUNTIF(G2:G13,"NULL")*4)</f>
        <v>16</v>
      </c>
      <c r="H17" s="8" t="s">
        <v>137</v>
      </c>
      <c r="I17" s="21">
        <f>(COUNTIF(I2:I13, "&lt;&gt;")*5)-(COUNTIF(I2:I13,"NULL")*5)</f>
        <v>45</v>
      </c>
      <c r="J17" s="8" t="s">
        <v>137</v>
      </c>
      <c r="K17" s="8">
        <f>SUM(A17,C17, E17,G17,I17)</f>
        <v>72</v>
      </c>
      <c r="L17" s="8" t="s">
        <v>140</v>
      </c>
    </row>
    <row r="18" spans="1:12" ht="30.75" customHeight="1"/>
    <row r="19" spans="1:12">
      <c r="A19" s="29"/>
      <c r="B19" s="12"/>
      <c r="C19" s="12"/>
      <c r="D19" s="12"/>
      <c r="E19" s="28"/>
      <c r="F19" s="13"/>
      <c r="G19" s="29"/>
      <c r="H19" s="12"/>
      <c r="I19" s="32"/>
      <c r="J19" s="16"/>
    </row>
    <row r="20" spans="1:12">
      <c r="B20" s="12"/>
      <c r="C20" s="12"/>
      <c r="D20" s="12"/>
      <c r="E20" s="28"/>
      <c r="F20" s="12"/>
      <c r="G20" s="29"/>
      <c r="H20" s="12"/>
      <c r="I20" s="32"/>
      <c r="J20" s="16"/>
    </row>
    <row r="21" spans="1:12">
      <c r="A21" s="29"/>
      <c r="B21" s="12"/>
      <c r="C21" s="12"/>
      <c r="D21" s="12"/>
      <c r="E21" s="28"/>
      <c r="F21" s="12"/>
      <c r="G21" s="29"/>
      <c r="H21" s="12"/>
      <c r="I21" s="32"/>
      <c r="J21" s="16"/>
    </row>
    <row r="22" spans="1:12">
      <c r="A22" s="29"/>
      <c r="B22" s="12"/>
      <c r="C22" s="12"/>
      <c r="D22" s="12"/>
      <c r="E22" s="28"/>
      <c r="F22" s="12"/>
      <c r="G22" s="29"/>
      <c r="H22" s="12"/>
      <c r="I22" s="32"/>
      <c r="J22" s="16"/>
    </row>
    <row r="23" spans="1:12">
      <c r="A23" s="29"/>
      <c r="B23" s="12"/>
      <c r="C23" s="12"/>
      <c r="D23" s="12"/>
      <c r="E23" s="28"/>
      <c r="F23" s="12"/>
      <c r="G23" s="29"/>
      <c r="H23" s="12"/>
      <c r="I23" s="32"/>
      <c r="J23" s="16"/>
    </row>
    <row r="24" spans="1:12">
      <c r="A24" s="29"/>
      <c r="B24" s="12"/>
      <c r="C24" s="12"/>
      <c r="D24" s="12"/>
      <c r="E24" s="28"/>
      <c r="F24" s="12"/>
      <c r="G24" s="29"/>
      <c r="H24" s="12"/>
      <c r="I24" s="32"/>
      <c r="J24" s="16"/>
    </row>
    <row r="25" spans="1:12">
      <c r="A25" s="29"/>
      <c r="B25" s="12"/>
      <c r="C25" s="12"/>
      <c r="D25" s="12"/>
      <c r="E25" s="28"/>
      <c r="F25" s="12"/>
      <c r="G25" s="29"/>
      <c r="H25" s="12"/>
      <c r="I25" s="32"/>
      <c r="J25" s="16"/>
    </row>
    <row r="26" spans="1:12">
      <c r="A26" s="29"/>
      <c r="B26" s="12"/>
      <c r="C26" s="12"/>
      <c r="D26" s="12"/>
      <c r="E26" s="28"/>
      <c r="F26" s="12"/>
      <c r="G26" s="29"/>
      <c r="H26" s="12"/>
      <c r="I26" s="32"/>
      <c r="J26" s="16"/>
    </row>
    <row r="27" spans="1:12">
      <c r="A27" s="29"/>
      <c r="B27" s="12"/>
      <c r="C27" s="12"/>
      <c r="D27" s="12"/>
      <c r="E27" s="28"/>
      <c r="F27" s="12"/>
      <c r="G27" s="29"/>
      <c r="H27" s="5"/>
      <c r="I27" s="32"/>
      <c r="J27" s="16"/>
    </row>
    <row r="28" spans="1:12">
      <c r="A28" s="23"/>
      <c r="B28" s="5"/>
      <c r="C28" s="5"/>
      <c r="D28" s="5"/>
      <c r="E28" s="25"/>
      <c r="F28" s="5"/>
      <c r="G28" s="23"/>
    </row>
    <row r="32" spans="1:12">
      <c r="A32" s="23"/>
      <c r="B32" s="5"/>
      <c r="C32" s="5"/>
      <c r="D32" s="5"/>
      <c r="E32" s="25"/>
      <c r="F32" s="5"/>
    </row>
    <row r="33" spans="1:6">
      <c r="A33" s="23"/>
      <c r="B33" s="5"/>
      <c r="C33" s="5"/>
      <c r="D33" s="5"/>
      <c r="E33" s="25"/>
      <c r="F33" s="5"/>
    </row>
    <row r="34" spans="1:6">
      <c r="A34" s="23"/>
      <c r="B34" s="5"/>
      <c r="C34" s="5"/>
      <c r="D34" s="5"/>
      <c r="E34" s="25"/>
      <c r="F34" s="5"/>
    </row>
    <row r="35" spans="1:6">
      <c r="A35" s="23"/>
      <c r="B35" s="5"/>
      <c r="C35" s="5"/>
      <c r="D35" s="5"/>
      <c r="E35" s="25"/>
      <c r="F35" s="5"/>
    </row>
    <row r="36" spans="1:6">
      <c r="A36" s="23"/>
      <c r="B36" s="5"/>
      <c r="C36" s="5"/>
      <c r="D36" s="5"/>
      <c r="E36" s="25"/>
      <c r="F36" s="5"/>
    </row>
    <row r="37" spans="1:6">
      <c r="A37" s="23"/>
      <c r="B37" s="5"/>
      <c r="C37" s="5"/>
      <c r="D37" s="5"/>
    </row>
    <row r="38" spans="1:6">
      <c r="A38" s="23"/>
      <c r="B38" s="5"/>
      <c r="C38" s="5"/>
      <c r="D38" s="5"/>
    </row>
    <row r="39" spans="1:6">
      <c r="A39" s="23"/>
      <c r="B39" s="5"/>
      <c r="C39" s="5"/>
      <c r="D39" s="5"/>
    </row>
    <row r="40" spans="1:6">
      <c r="A40" s="23"/>
      <c r="B40" s="5"/>
      <c r="C40" s="5"/>
      <c r="D40" s="5"/>
    </row>
  </sheetData>
  <mergeCells count="5">
    <mergeCell ref="A1:B1"/>
    <mergeCell ref="C1:D1"/>
    <mergeCell ref="E1:F1"/>
    <mergeCell ref="G1:H1"/>
    <mergeCell ref="I1:J1"/>
  </mergeCells>
  <phoneticPr fontId="9" type="noConversion"/>
  <pageMargins left="0.7" right="0.7" top="0.75" bottom="0.75" header="0.3" footer="0.3"/>
  <pageSetup paperSize="125" orientation="portrait" horizontalDpi="300" verticalDpi="300"/>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theme="0"/>
  </sheetPr>
  <dimension ref="A1:M22"/>
  <sheetViews>
    <sheetView workbookViewId="0">
      <selection activeCell="L3" sqref="L3"/>
    </sheetView>
  </sheetViews>
  <sheetFormatPr baseColWidth="10" defaultColWidth="8.83203125" defaultRowHeight="14" x14ac:dyDescent="0"/>
  <cols>
    <col min="2" max="2" width="15.1640625" customWidth="1"/>
    <col min="3" max="3" width="8.83203125" style="19"/>
    <col min="4" max="4" width="20.6640625" customWidth="1"/>
    <col min="6" max="6" width="16.83203125" customWidth="1"/>
    <col min="8" max="8" width="15" customWidth="1"/>
    <col min="10" max="10" width="31.6640625" customWidth="1"/>
    <col min="12" max="12" width="8.83203125" style="1"/>
  </cols>
  <sheetData>
    <row r="1" spans="1:13" s="102" customFormat="1" ht="15" customHeight="1">
      <c r="A1" s="139" t="s">
        <v>154</v>
      </c>
      <c r="B1" s="140"/>
      <c r="C1" s="135" t="s">
        <v>155</v>
      </c>
      <c r="D1" s="136"/>
      <c r="E1" s="141" t="s">
        <v>156</v>
      </c>
      <c r="F1" s="142"/>
      <c r="G1" s="143" t="s">
        <v>157</v>
      </c>
      <c r="H1" s="144"/>
      <c r="I1" s="137" t="s">
        <v>158</v>
      </c>
      <c r="J1" s="138"/>
      <c r="L1" s="103"/>
    </row>
    <row r="2" spans="1:13" ht="42">
      <c r="A2" s="13"/>
      <c r="B2" s="7"/>
      <c r="C2" s="87" t="str">
        <f>Interview!$C$3</f>
        <v>NO</v>
      </c>
      <c r="D2" s="34" t="str">
        <f>Interview!D3</f>
        <v>Have you read UVa’s Laboratory Notebook and Recordkeeping policy?</v>
      </c>
      <c r="E2" s="14"/>
      <c r="F2" s="7"/>
      <c r="G2" s="7"/>
      <c r="H2" s="7"/>
      <c r="I2" s="7"/>
      <c r="J2" s="11"/>
    </row>
    <row r="3" spans="1:13" ht="56">
      <c r="A3" s="13"/>
      <c r="B3" s="7"/>
      <c r="C3" s="87" t="str">
        <f>Interview!$C$4</f>
        <v>NO</v>
      </c>
      <c r="D3" s="34" t="str">
        <f>Interview!D4</f>
        <v>Have you read UVa’s Ownership Rights in Copyrightable Material policy?</v>
      </c>
      <c r="E3" s="14"/>
      <c r="F3" s="7"/>
      <c r="G3" s="7"/>
      <c r="H3" s="7"/>
      <c r="I3" s="7"/>
      <c r="J3" s="11"/>
      <c r="L3" s="50" t="s">
        <v>159</v>
      </c>
      <c r="M3" s="51">
        <f>K15</f>
        <v>0</v>
      </c>
    </row>
    <row r="4" spans="1:13" ht="28">
      <c r="A4" s="13"/>
      <c r="B4" s="7"/>
      <c r="C4" s="28"/>
      <c r="D4" s="11"/>
      <c r="E4" s="11"/>
      <c r="F4" s="7"/>
      <c r="G4" s="7"/>
      <c r="H4" s="7"/>
      <c r="I4" s="7"/>
      <c r="J4" s="11"/>
      <c r="L4" s="50" t="s">
        <v>99</v>
      </c>
      <c r="M4" s="51">
        <f>K17</f>
        <v>4</v>
      </c>
    </row>
    <row r="5" spans="1:13" ht="15" thickBot="1">
      <c r="A5" s="13"/>
      <c r="B5" s="7"/>
      <c r="C5" s="28"/>
      <c r="D5" s="7"/>
      <c r="E5" s="7"/>
      <c r="F5" s="7"/>
      <c r="G5" s="7"/>
      <c r="H5" s="7"/>
      <c r="I5" s="7"/>
      <c r="L5" s="60" t="s">
        <v>153</v>
      </c>
      <c r="M5" s="61">
        <f>ROUND(M3/M4*100,0)</f>
        <v>0</v>
      </c>
    </row>
    <row r="6" spans="1:13" ht="15" thickTop="1">
      <c r="A6" s="13"/>
      <c r="B6" s="7"/>
      <c r="C6" s="28"/>
      <c r="D6" s="12"/>
      <c r="E6" s="12"/>
      <c r="F6" s="7"/>
      <c r="G6" s="7"/>
      <c r="H6" s="7"/>
      <c r="I6" s="7"/>
    </row>
    <row r="7" spans="1:13">
      <c r="A7" s="13"/>
      <c r="B7" s="7"/>
      <c r="C7" s="28"/>
      <c r="D7" s="12"/>
      <c r="E7" s="12"/>
      <c r="F7" s="7"/>
      <c r="G7" s="7"/>
      <c r="H7" s="7"/>
      <c r="I7" s="7"/>
    </row>
    <row r="14" spans="1:13">
      <c r="A14" s="15"/>
      <c r="B14" s="15"/>
      <c r="C14" s="33"/>
      <c r="D14" s="15"/>
      <c r="E14" s="15"/>
      <c r="F14" s="15"/>
      <c r="G14" s="15"/>
      <c r="H14" s="15"/>
      <c r="I14" s="15"/>
      <c r="J14" s="15"/>
      <c r="K14" s="15"/>
    </row>
    <row r="15" spans="1:13">
      <c r="A15" s="58">
        <f>COUNTIF(A2:A13,"YES")*1</f>
        <v>0</v>
      </c>
      <c r="B15" s="57" t="s">
        <v>149</v>
      </c>
      <c r="C15" s="58">
        <f>COUNTIF(C2:C13,"YES")*2</f>
        <v>0</v>
      </c>
      <c r="D15" s="57" t="s">
        <v>149</v>
      </c>
      <c r="E15" s="57">
        <f>COUNTIF(E2:E13,"YES")*3</f>
        <v>0</v>
      </c>
      <c r="F15" s="57" t="s">
        <v>149</v>
      </c>
      <c r="G15" s="58">
        <f>COUNTIF(G2:G13,"YES")*4</f>
        <v>0</v>
      </c>
      <c r="H15" s="57" t="s">
        <v>149</v>
      </c>
      <c r="I15" s="58">
        <f>COUNTIF(I2:I13,"YES")*5</f>
        <v>0</v>
      </c>
      <c r="J15" s="57" t="s">
        <v>149</v>
      </c>
      <c r="K15" s="57">
        <f>SUM(A15:J15)</f>
        <v>0</v>
      </c>
      <c r="L15" s="56" t="s">
        <v>82</v>
      </c>
    </row>
    <row r="16" spans="1:13">
      <c r="A16" s="15"/>
      <c r="B16" s="15"/>
      <c r="C16" s="33"/>
      <c r="D16" s="15"/>
      <c r="E16" s="15"/>
      <c r="F16" s="15"/>
      <c r="G16" s="15"/>
      <c r="H16" s="15"/>
      <c r="I16" s="15"/>
      <c r="J16" s="15"/>
      <c r="K16" s="15"/>
    </row>
    <row r="17" spans="1:12" ht="21.75" customHeight="1">
      <c r="A17" s="21">
        <f>(COUNTIF(A2:A13,"&lt;&gt;")*1)-(COUNTIF(A2:A13,"NULL")*1)</f>
        <v>0</v>
      </c>
      <c r="B17" s="8" t="s">
        <v>137</v>
      </c>
      <c r="C17" s="21">
        <f>(COUNTIF(C2:C13,"&lt;&gt;")*2)-(COUNTIF(C2:C13,"NULL")*2)</f>
        <v>4</v>
      </c>
      <c r="D17" s="8" t="s">
        <v>137</v>
      </c>
      <c r="E17" s="21">
        <f>(COUNTIF(E2:E13,"&lt;&gt;")*3)-(COUNTIF(E2:E13,"NULL")*3)</f>
        <v>0</v>
      </c>
      <c r="F17" s="8" t="s">
        <v>137</v>
      </c>
      <c r="G17" s="21">
        <f>(COUNTIF(G2:G13,"&lt;&gt;")*4)-(COUNTIF(G2:G13,"NULL")*4)</f>
        <v>0</v>
      </c>
      <c r="H17" s="8" t="s">
        <v>137</v>
      </c>
      <c r="I17" s="21">
        <f>(COUNTIF(I2:I13,"&lt;&gt;")*5)-(COUNTIF(I2:I13,"NULL")*5)</f>
        <v>0</v>
      </c>
      <c r="J17" s="8" t="s">
        <v>137</v>
      </c>
      <c r="K17" s="8">
        <f>SUM(A17,C17, E17,G17,I17)</f>
        <v>4</v>
      </c>
      <c r="L17" s="8" t="s">
        <v>140</v>
      </c>
    </row>
    <row r="18" spans="1:12">
      <c r="A18" s="15"/>
      <c r="B18" s="15"/>
      <c r="C18" s="33"/>
      <c r="D18" s="15"/>
      <c r="E18" s="15"/>
      <c r="F18" s="15"/>
      <c r="G18" s="15"/>
      <c r="H18" s="15"/>
      <c r="I18" s="15"/>
      <c r="J18" s="15"/>
      <c r="K18" s="15"/>
    </row>
    <row r="19" spans="1:12">
      <c r="A19" s="15"/>
      <c r="B19" s="15"/>
      <c r="C19" s="33"/>
      <c r="D19" s="15"/>
      <c r="E19" s="15"/>
      <c r="F19" s="15"/>
      <c r="G19" s="15"/>
      <c r="H19" s="15"/>
      <c r="I19" s="15"/>
      <c r="J19" s="15"/>
      <c r="K19" s="15"/>
    </row>
    <row r="21" spans="1:12">
      <c r="C21"/>
    </row>
    <row r="22" spans="1:12">
      <c r="C22"/>
    </row>
  </sheetData>
  <mergeCells count="5">
    <mergeCell ref="A1:B1"/>
    <mergeCell ref="C1:D1"/>
    <mergeCell ref="E1:F1"/>
    <mergeCell ref="G1:H1"/>
    <mergeCell ref="I1:J1"/>
  </mergeCells>
  <phoneticPr fontId="9" type="noConversion"/>
  <pageMargins left="0.7" right="0.7" top="0.75" bottom="0.75" header="0.3" footer="0.3"/>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tabColor rgb="FFFF8000"/>
  </sheetPr>
  <dimension ref="A1:M29"/>
  <sheetViews>
    <sheetView workbookViewId="0">
      <selection activeCell="L3" sqref="L3"/>
    </sheetView>
  </sheetViews>
  <sheetFormatPr baseColWidth="10" defaultColWidth="9.1640625" defaultRowHeight="14" x14ac:dyDescent="0"/>
  <cols>
    <col min="1" max="1" width="6" style="15" customWidth="1"/>
    <col min="2" max="2" width="22.33203125" style="15" customWidth="1"/>
    <col min="3" max="3" width="6.6640625" style="33" customWidth="1"/>
    <col min="4" max="4" width="13.83203125" style="15" customWidth="1"/>
    <col min="5" max="5" width="7.33203125" style="33" customWidth="1"/>
    <col min="6" max="6" width="18.1640625" style="15" customWidth="1"/>
    <col min="7" max="7" width="6" style="33" customWidth="1"/>
    <col min="8" max="8" width="23.1640625" style="15" customWidth="1"/>
    <col min="9" max="9" width="7.33203125" style="33" customWidth="1"/>
    <col min="10" max="10" width="22" style="15" customWidth="1"/>
    <col min="11" max="11" width="4.83203125" style="15" customWidth="1"/>
    <col min="12" max="12" width="9.1640625" style="8"/>
    <col min="13" max="16384" width="9.1640625" style="15"/>
  </cols>
  <sheetData>
    <row r="1" spans="1:13" s="104" customFormat="1" ht="18.75" customHeight="1">
      <c r="A1" s="139" t="s">
        <v>154</v>
      </c>
      <c r="B1" s="140"/>
      <c r="C1" s="135" t="s">
        <v>155</v>
      </c>
      <c r="D1" s="136"/>
      <c r="E1" s="141" t="s">
        <v>156</v>
      </c>
      <c r="F1" s="142"/>
      <c r="G1" s="143" t="s">
        <v>157</v>
      </c>
      <c r="H1" s="144"/>
      <c r="I1" s="137" t="s">
        <v>158</v>
      </c>
      <c r="J1" s="138"/>
      <c r="L1" s="101"/>
    </row>
    <row r="2" spans="1:13" ht="25.5" customHeight="1">
      <c r="A2" s="4"/>
      <c r="B2" s="9"/>
      <c r="C2" s="25"/>
      <c r="D2" s="4" t="s">
        <v>5</v>
      </c>
      <c r="E2" s="20"/>
      <c r="F2" s="4" t="s">
        <v>5</v>
      </c>
      <c r="G2" s="20"/>
      <c r="H2" s="4" t="s">
        <v>5</v>
      </c>
      <c r="I2" s="20"/>
      <c r="J2" s="4" t="s">
        <v>8</v>
      </c>
    </row>
    <row r="3" spans="1:13" ht="82.5" customHeight="1">
      <c r="A3" s="69" t="str">
        <f>Interview!$E$4</f>
        <v>NO</v>
      </c>
      <c r="B3" s="68" t="str">
        <f>Interview!F4</f>
        <v>DMP only exists in researcher's mind, has not been communicated to research team</v>
      </c>
      <c r="C3" s="93" t="str">
        <f>Interview!$E$17</f>
        <v>NO</v>
      </c>
      <c r="D3" s="68" t="str">
        <f>Interview!F17</f>
        <v>Has documented data sources used</v>
      </c>
      <c r="E3" s="94" t="str">
        <f>Interview!$E$18</f>
        <v>NO</v>
      </c>
      <c r="F3" s="68" t="str">
        <f>Interview!F18</f>
        <v>Has documented context of data collection (location, temp, etc.)</v>
      </c>
      <c r="G3" s="95" t="str">
        <f>Interview!$E$21</f>
        <v>NO</v>
      </c>
      <c r="H3" s="68" t="str">
        <f>Interview!F21</f>
        <v>Has explained file structure and organization of data files</v>
      </c>
      <c r="I3" s="22"/>
      <c r="J3" s="6"/>
      <c r="L3" s="50" t="s">
        <v>159</v>
      </c>
      <c r="M3" s="51">
        <f>K20</f>
        <v>0</v>
      </c>
    </row>
    <row r="4" spans="1:13" ht="56">
      <c r="A4" s="4"/>
      <c r="B4" s="9"/>
      <c r="C4" s="93" t="str">
        <f>Interview!$E$5</f>
        <v>NO</v>
      </c>
      <c r="D4" s="96" t="str">
        <f>Interview!F5</f>
        <v xml:space="preserve"> Basic, informal DMP exists and has been communicated</v>
      </c>
      <c r="E4" s="95" t="str">
        <f>Interview!$E$19</f>
        <v>NO</v>
      </c>
      <c r="F4" s="68" t="str">
        <f>Interview!F19</f>
        <v>Has documented data collection methods</v>
      </c>
      <c r="G4" s="95" t="str">
        <f>Interview!$E$7</f>
        <v>NO</v>
      </c>
      <c r="H4" s="96" t="str">
        <f>Interview!F7</f>
        <v>DMP has been reviewed by SciDaC</v>
      </c>
      <c r="I4" s="95" t="str">
        <f>Interview!$E$28</f>
        <v>NO</v>
      </c>
      <c r="J4" s="68" t="str">
        <f>Interview!F28</f>
        <v>Has documented information on confidentiality, access &amp; use conditions</v>
      </c>
      <c r="L4" s="50" t="s">
        <v>99</v>
      </c>
      <c r="M4" s="51">
        <f>K22</f>
        <v>69</v>
      </c>
    </row>
    <row r="5" spans="1:13" ht="43" thickBot="1">
      <c r="A5" s="4"/>
      <c r="B5" s="9"/>
      <c r="C5" s="25"/>
      <c r="D5" s="9"/>
      <c r="E5" s="97" t="str">
        <f>Interview!$E$6</f>
        <v>NO</v>
      </c>
      <c r="F5" s="98" t="str">
        <f>Interview!F6</f>
        <v>DMP has been improved to include all 8 categories.</v>
      </c>
      <c r="G5" s="22"/>
      <c r="H5" s="6"/>
      <c r="I5" s="93" t="str">
        <f>Interview!$E$8</f>
        <v>NO</v>
      </c>
      <c r="J5" s="96" t="str">
        <f>Interview!F8</f>
        <v>DMP is being followed by all research team members.</v>
      </c>
      <c r="L5" s="60" t="s">
        <v>153</v>
      </c>
      <c r="M5" s="61">
        <f>ROUND(M3/M4*100,0)</f>
        <v>0</v>
      </c>
    </row>
    <row r="6" spans="1:13" ht="29" thickTop="1">
      <c r="A6" s="4"/>
      <c r="B6" s="9"/>
      <c r="C6" s="25"/>
      <c r="D6" s="5"/>
      <c r="E6" s="23"/>
      <c r="F6" s="6"/>
      <c r="G6" s="93" t="str">
        <f>Interview!$E$23</f>
        <v>NO</v>
      </c>
      <c r="H6" s="68" t="str">
        <f>Interview!F23</f>
        <v>Is performing data validation and quality assurance</v>
      </c>
      <c r="I6" s="22"/>
      <c r="J6" s="4" t="s">
        <v>6</v>
      </c>
    </row>
    <row r="7" spans="1:13" ht="42">
      <c r="A7" s="4"/>
      <c r="B7" s="9"/>
      <c r="C7" s="25"/>
      <c r="D7" s="5"/>
      <c r="E7" s="23"/>
      <c r="F7" s="4" t="s">
        <v>6</v>
      </c>
      <c r="G7" s="20"/>
      <c r="H7" s="4" t="s">
        <v>6</v>
      </c>
      <c r="I7" s="99" t="str">
        <f>Interview!$E$29</f>
        <v>NO</v>
      </c>
      <c r="J7" s="68" t="str">
        <f>Interview!F29</f>
        <v>Has documented algorithms used to transform data</v>
      </c>
    </row>
    <row r="8" spans="1:13" ht="42">
      <c r="A8" s="4"/>
      <c r="B8" s="9"/>
      <c r="C8" s="25"/>
      <c r="D8" s="5"/>
      <c r="E8" s="100" t="str">
        <f>Interview!$E$20</f>
        <v>NO</v>
      </c>
      <c r="F8" s="68" t="str">
        <f>Interview!F20</f>
        <v>Has documented variable names and descriptions</v>
      </c>
      <c r="G8" s="95" t="str">
        <f>Interview!$E$25</f>
        <v>NO</v>
      </c>
      <c r="H8" s="68" t="str">
        <f>Interview!F25</f>
        <v>Has documented file format and software (including version) used.</v>
      </c>
      <c r="I8" s="22"/>
      <c r="J8" s="4" t="s">
        <v>7</v>
      </c>
    </row>
    <row r="9" spans="1:13" ht="28">
      <c r="A9" s="4"/>
      <c r="B9" s="9"/>
      <c r="C9" s="25"/>
      <c r="D9" s="5"/>
      <c r="G9" s="99" t="str">
        <f>Interview!$E$26</f>
        <v>NO</v>
      </c>
      <c r="H9" s="68" t="str">
        <f>Interview!F26</f>
        <v>Creates metadata at a basic level (informally)</v>
      </c>
      <c r="I9" s="95" t="str">
        <f>Interview!$E$30</f>
        <v>NO</v>
      </c>
      <c r="J9" s="96" t="str">
        <f>Interview!F30</f>
        <v>Use a research community metadata standard.</v>
      </c>
    </row>
    <row r="10" spans="1:13" ht="28">
      <c r="A10" s="4"/>
      <c r="B10" s="9"/>
      <c r="C10" s="25"/>
      <c r="D10" s="5"/>
      <c r="E10" s="23"/>
      <c r="F10" s="4" t="s">
        <v>7</v>
      </c>
      <c r="G10" s="26"/>
      <c r="H10" s="16"/>
      <c r="I10" s="95" t="str">
        <f>Interview!$E$24</f>
        <v>NO</v>
      </c>
      <c r="J10" s="96" t="str">
        <f>Interview!F24</f>
        <v>Explains codes and classification schemes used</v>
      </c>
    </row>
    <row r="11" spans="1:13" ht="28">
      <c r="A11" s="4"/>
      <c r="B11" s="9"/>
      <c r="C11" s="25"/>
      <c r="D11" s="5"/>
      <c r="E11" s="100" t="str">
        <f>Interview!$E$22</f>
        <v>NO</v>
      </c>
      <c r="F11" s="96" t="str">
        <f>Interview!F22</f>
        <v>Understands the need for metadata</v>
      </c>
      <c r="G11" s="22"/>
      <c r="H11" s="4" t="s">
        <v>7</v>
      </c>
      <c r="I11" s="20"/>
      <c r="J11" s="8"/>
    </row>
    <row r="12" spans="1:13" ht="56">
      <c r="A12" s="4"/>
      <c r="B12" s="9"/>
      <c r="C12" s="25"/>
      <c r="D12" s="5"/>
      <c r="E12" s="23"/>
      <c r="F12" s="4"/>
      <c r="G12" s="99" t="str">
        <f>Interview!$E$27</f>
        <v>NO</v>
      </c>
      <c r="H12" s="68" t="str">
        <f>Interview!F27</f>
        <v>Has documented transformations of data from the raw data through analysis</v>
      </c>
      <c r="I12" s="22"/>
      <c r="J12" s="8"/>
    </row>
    <row r="13" spans="1:13">
      <c r="A13" s="4"/>
      <c r="B13" s="9"/>
      <c r="C13" s="25"/>
      <c r="D13" s="5"/>
      <c r="E13" s="23"/>
      <c r="F13" s="5"/>
      <c r="G13" s="23"/>
      <c r="H13" s="4"/>
      <c r="I13" s="20"/>
      <c r="J13" s="8"/>
    </row>
    <row r="14" spans="1:13">
      <c r="A14" s="4"/>
      <c r="B14" s="9"/>
      <c r="C14" s="25"/>
      <c r="D14" s="5"/>
      <c r="E14" s="23"/>
      <c r="F14" s="5"/>
      <c r="G14" s="23"/>
      <c r="H14" s="5"/>
      <c r="I14" s="23"/>
      <c r="J14" s="8"/>
    </row>
    <row r="15" spans="1:13">
      <c r="A15" s="4"/>
      <c r="B15" s="9"/>
      <c r="C15" s="25"/>
      <c r="D15" s="5"/>
      <c r="E15" s="23"/>
      <c r="F15" s="5"/>
      <c r="G15" s="23"/>
      <c r="H15" s="5"/>
      <c r="I15" s="23"/>
    </row>
    <row r="16" spans="1:13">
      <c r="A16" s="4"/>
      <c r="B16" s="9"/>
      <c r="C16" s="25"/>
      <c r="D16" s="5"/>
      <c r="E16" s="23"/>
      <c r="F16" s="5"/>
      <c r="G16" s="23"/>
      <c r="H16" s="5"/>
      <c r="I16" s="23"/>
    </row>
    <row r="17" spans="1:12">
      <c r="A17" s="4"/>
      <c r="B17" s="9"/>
      <c r="C17" s="25"/>
      <c r="D17" s="5"/>
      <c r="E17" s="23"/>
      <c r="F17" s="5"/>
      <c r="G17" s="23"/>
      <c r="H17" s="5"/>
      <c r="I17" s="23"/>
    </row>
    <row r="18" spans="1:12">
      <c r="A18" s="4"/>
      <c r="B18" s="9"/>
      <c r="C18" s="25"/>
      <c r="D18" s="5"/>
      <c r="E18" s="23"/>
      <c r="F18" s="5"/>
      <c r="G18" s="23"/>
      <c r="H18" s="5"/>
      <c r="I18" s="23"/>
    </row>
    <row r="19" spans="1:12">
      <c r="A19" s="4"/>
      <c r="B19" s="9"/>
      <c r="C19" s="25"/>
      <c r="D19" s="5"/>
      <c r="E19" s="23"/>
      <c r="F19" s="5"/>
      <c r="G19" s="23"/>
      <c r="H19" s="5"/>
      <c r="I19" s="23"/>
    </row>
    <row r="20" spans="1:12">
      <c r="A20" s="59">
        <f>COUNTIF(A2:A18,"YES")*1</f>
        <v>0</v>
      </c>
      <c r="B20" s="59" t="s">
        <v>149</v>
      </c>
      <c r="C20" s="54">
        <f>COUNTIF(C2:C18,"YES")*2</f>
        <v>0</v>
      </c>
      <c r="D20" s="53" t="s">
        <v>149</v>
      </c>
      <c r="E20" s="52">
        <f>COUNTIF(E2:E18,"YES")*3</f>
        <v>0</v>
      </c>
      <c r="F20" s="53" t="s">
        <v>149</v>
      </c>
      <c r="G20" s="52">
        <f>COUNTIF(G2:G18,"YES")*4</f>
        <v>0</v>
      </c>
      <c r="H20" s="53" t="s">
        <v>149</v>
      </c>
      <c r="I20" s="52">
        <f>COUNTIF(I2:I18,"YES")*5</f>
        <v>0</v>
      </c>
      <c r="J20" s="57" t="s">
        <v>149</v>
      </c>
      <c r="K20" s="57">
        <f>SUM(A20:J20)</f>
        <v>0</v>
      </c>
      <c r="L20" s="56" t="s">
        <v>82</v>
      </c>
    </row>
    <row r="21" spans="1:12">
      <c r="A21" s="4"/>
      <c r="B21" s="9"/>
      <c r="C21" s="25"/>
      <c r="D21" s="5"/>
      <c r="E21" s="23"/>
      <c r="F21" s="5"/>
      <c r="G21" s="23"/>
    </row>
    <row r="22" spans="1:12">
      <c r="A22" s="21">
        <f>(COUNTIF(A2:A18,"&lt;&gt;")*1)-(COUNTIF(A2:A18,"NULL")*1)</f>
        <v>1</v>
      </c>
      <c r="B22" s="8" t="s">
        <v>137</v>
      </c>
      <c r="C22" s="21">
        <f>(COUNTIF(C2:C18,"&lt;&gt;")*2)-(COUNTIF(C2:C18,"NULL")*2)</f>
        <v>4</v>
      </c>
      <c r="D22" s="8" t="s">
        <v>137</v>
      </c>
      <c r="E22" s="21">
        <f>(COUNTIF(E2:E18,"&lt;&gt;")*3)-(COUNTIF(E2:E18,"NULL")*3)</f>
        <v>15</v>
      </c>
      <c r="F22" s="8" t="s">
        <v>137</v>
      </c>
      <c r="G22" s="21">
        <f>(COUNTIF(G2:G18,"&lt;&gt;")*4)-(COUNTIF(G2:G18,"NULL")*4)</f>
        <v>24</v>
      </c>
      <c r="H22" s="8" t="s">
        <v>137</v>
      </c>
      <c r="I22" s="21">
        <f>(COUNTIF(I2:I18,"&lt;&gt;")*5)-(COUNTIF(I2:I18,"NULL")*5)</f>
        <v>25</v>
      </c>
      <c r="J22" s="8" t="s">
        <v>137</v>
      </c>
      <c r="K22" s="8">
        <f>SUM(A22,C22, E22,G22,I22)</f>
        <v>69</v>
      </c>
      <c r="L22" s="8" t="s">
        <v>140</v>
      </c>
    </row>
    <row r="23" spans="1:12">
      <c r="A23" s="4"/>
      <c r="B23" s="9"/>
      <c r="C23" s="25"/>
      <c r="D23" s="5"/>
      <c r="E23" s="23"/>
      <c r="F23" s="5"/>
      <c r="G23" s="23"/>
    </row>
    <row r="24" spans="1:12">
      <c r="A24" s="4"/>
      <c r="B24" s="9"/>
      <c r="C24" s="25"/>
      <c r="D24" s="5"/>
      <c r="E24" s="23"/>
      <c r="F24" s="5"/>
      <c r="G24" s="23"/>
    </row>
    <row r="25" spans="1:12">
      <c r="A25" s="4"/>
      <c r="B25" s="9"/>
      <c r="C25" s="25"/>
      <c r="D25" s="5"/>
      <c r="E25" s="23"/>
      <c r="F25" s="5"/>
      <c r="G25" s="23"/>
    </row>
    <row r="26" spans="1:12">
      <c r="A26" s="4"/>
      <c r="B26" s="9"/>
      <c r="C26" s="25"/>
      <c r="D26" s="5"/>
      <c r="E26" s="23"/>
      <c r="F26" s="5"/>
      <c r="G26" s="23"/>
    </row>
    <row r="27" spans="1:12">
      <c r="A27" s="4"/>
      <c r="B27" s="9"/>
      <c r="C27" s="25"/>
      <c r="D27" s="5"/>
      <c r="E27" s="23"/>
      <c r="F27" s="5"/>
      <c r="G27" s="23"/>
    </row>
    <row r="28" spans="1:12">
      <c r="A28" s="4"/>
      <c r="B28" s="9"/>
      <c r="C28" s="25"/>
      <c r="D28" s="5"/>
      <c r="E28" s="23"/>
      <c r="F28" s="5"/>
      <c r="G28" s="23"/>
    </row>
    <row r="29" spans="1:12">
      <c r="A29" s="4"/>
      <c r="B29" s="9"/>
      <c r="C29" s="25"/>
      <c r="D29" s="5"/>
      <c r="E29" s="23"/>
    </row>
  </sheetData>
  <mergeCells count="5">
    <mergeCell ref="A1:B1"/>
    <mergeCell ref="C1:D1"/>
    <mergeCell ref="E1:F1"/>
    <mergeCell ref="G1:H1"/>
    <mergeCell ref="I1:J1"/>
  </mergeCells>
  <phoneticPr fontId="9" type="noConversion"/>
  <pageMargins left="0.7" right="0.7" top="0.75" bottom="0.75" header="0.3" footer="0.3"/>
  <pageSetup paperSize="125" orientation="portrait" horizontalDpi="300" verticalDpi="300"/>
  <extLst>
    <ext xmlns:mx="http://schemas.microsoft.com/office/mac/excel/2008/main" uri="{64002731-A6B0-56B0-2670-7721B7C09600}">
      <mx:PLV Mode="0" OnePage="0" WScale="0"/>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3C02EF0134A25047984F9A1B207E2BB7" ma:contentTypeVersion="2" ma:contentTypeDescription="Create a new document." ma:contentTypeScope="" ma:versionID="a50f6690b2e3b0df9dd6b3a3845aa053">
  <xsd:schema xmlns:xsd="http://www.w3.org/2001/XMLSchema" xmlns:xs="http://www.w3.org/2001/XMLSchema" xmlns:p="http://schemas.microsoft.com/office/2006/metadata/properties" xmlns:ns2="92466b83-a012-4486-a2ff-5148620a2f96" targetNamespace="http://schemas.microsoft.com/office/2006/metadata/properties" ma:root="true" ma:fieldsID="b8f63cc1d9d48012183e95213f620d67" ns2:_="">
    <xsd:import namespace="92466b83-a012-4486-a2ff-5148620a2f96"/>
    <xsd:element name="properties">
      <xsd:complexType>
        <xsd:sequence>
          <xsd:element name="documentManagement">
            <xsd:complexType>
              <xsd:all>
                <xsd:element ref="ns2:Order0"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2466b83-a012-4486-a2ff-5148620a2f96" elementFormDefault="qualified">
    <xsd:import namespace="http://schemas.microsoft.com/office/2006/documentManagement/types"/>
    <xsd:import namespace="http://schemas.microsoft.com/office/infopath/2007/PartnerControls"/>
    <xsd:element name="Order0" ma:index="8" nillable="true" ma:displayName="Order" ma:description="Order in which Interview Documents are used." ma:internalName="Order0">
      <xsd:simpleType>
        <xsd:restriction base="dms:Number"/>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Order0 xmlns="92466b83-a012-4486-a2ff-5148620a2f96" xsi:nil="true"/>
  </documentManagement>
</p:properties>
</file>

<file path=customXml/itemProps1.xml><?xml version="1.0" encoding="utf-8"?>
<ds:datastoreItem xmlns:ds="http://schemas.openxmlformats.org/officeDocument/2006/customXml" ds:itemID="{CD1F4A71-C923-4483-A8B7-39FF91187EBE}">
  <ds:schemaRefs>
    <ds:schemaRef ds:uri="http://schemas.microsoft.com/sharepoint/v3/contenttype/forms"/>
  </ds:schemaRefs>
</ds:datastoreItem>
</file>

<file path=customXml/itemProps2.xml><?xml version="1.0" encoding="utf-8"?>
<ds:datastoreItem xmlns:ds="http://schemas.openxmlformats.org/officeDocument/2006/customXml" ds:itemID="{66567B6F-94C1-4A93-8581-28AAB006800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2466b83-a012-4486-a2ff-5148620a2f9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6694F8C-CEEB-4767-ADD7-704EB74E81F1}">
  <ds:schemaRefs>
    <ds:schemaRef ds:uri="http://purl.org/dc/elements/1.1/"/>
    <ds:schemaRef ds:uri="92466b83-a012-4486-a2ff-5148620a2f96"/>
    <ds:schemaRef ds:uri="http://purl.org/dc/dcmitype/"/>
    <ds:schemaRef ds:uri="http://www.w3.org/XML/1998/namespace"/>
    <ds:schemaRef ds:uri="http://schemas.microsoft.com/office/2006/metadata/properties"/>
    <ds:schemaRef ds:uri="http://purl.org/dc/terms/"/>
    <ds:schemaRef ds:uri="http://schemas.microsoft.com/office/2006/documentManagement/types"/>
    <ds:schemaRef ds:uri="http://schemas.microsoft.com/office/infopath/2007/PartnerControls"/>
    <ds:schemaRef ds:uri="http://schemas.openxmlformats.org/package/2006/metadata/core-propertie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7</vt:i4>
      </vt:variant>
    </vt:vector>
  </HeadingPairs>
  <TitlesOfParts>
    <vt:vector size="7" baseType="lpstr">
      <vt:lpstr>Interview</vt:lpstr>
      <vt:lpstr>Report</vt:lpstr>
      <vt:lpstr>FileFmtsDataTypes</vt:lpstr>
      <vt:lpstr>OrgFiles</vt:lpstr>
      <vt:lpstr>SecStrgBackups</vt:lpstr>
      <vt:lpstr>CopyrightPrivConfid</vt:lpstr>
      <vt:lpstr>DataDocMetadata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DM Vitals tool - Latest Version</dc:title>
  <dc:creator>Borda, Susan (sb5wx)</dc:creator>
  <cp:lastModifiedBy>Sherry Lake</cp:lastModifiedBy>
  <dcterms:created xsi:type="dcterms:W3CDTF">2011-06-16T13:42:28Z</dcterms:created>
  <dcterms:modified xsi:type="dcterms:W3CDTF">2016-02-01T19:33:52Z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0x0101003C02EF0134A25047984F9A1B207E2BB7</vt:lpwstr>
  </property>
</Properties>
</file>